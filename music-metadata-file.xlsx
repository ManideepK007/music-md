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W\DA\"/>
    </mc:Choice>
  </mc:AlternateContent>
  <xr:revisionPtr revIDLastSave="0" documentId="13_ncr:1_{3111B619-19C5-4BB1-BF36-8CE127270883}" xr6:coauthVersionLast="47" xr6:coauthVersionMax="47" xr10:uidLastSave="{00000000-0000-0000-0000-000000000000}"/>
  <bookViews>
    <workbookView xWindow="-108" yWindow="-108" windowWidth="23256" windowHeight="13176" xr2:uid="{2FC80528-4AE6-4EF8-8F4C-39CD3D705E1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7" i="1" l="1"/>
  <c r="I177" i="1"/>
  <c r="J176" i="1"/>
  <c r="I176" i="1"/>
  <c r="J175" i="1"/>
  <c r="I175" i="1"/>
  <c r="J174" i="1"/>
  <c r="I174" i="1"/>
  <c r="J173" i="1"/>
  <c r="I173" i="1"/>
  <c r="J172" i="1"/>
  <c r="I172" i="1"/>
  <c r="J171" i="1"/>
  <c r="I171" i="1"/>
  <c r="J170" i="1"/>
  <c r="I170" i="1"/>
  <c r="J169" i="1"/>
  <c r="I169" i="1"/>
  <c r="J168" i="1"/>
  <c r="I168" i="1"/>
  <c r="J167" i="1"/>
  <c r="I167" i="1"/>
  <c r="J166" i="1"/>
  <c r="I166" i="1"/>
  <c r="J165" i="1"/>
  <c r="I165" i="1"/>
  <c r="J164" i="1"/>
  <c r="I164" i="1"/>
  <c r="J163" i="1"/>
  <c r="I163" i="1"/>
  <c r="J162" i="1"/>
  <c r="I162" i="1"/>
  <c r="J161" i="1"/>
  <c r="I161" i="1"/>
  <c r="J160" i="1"/>
  <c r="I160" i="1"/>
  <c r="J159" i="1"/>
  <c r="I159" i="1"/>
  <c r="J158" i="1"/>
  <c r="I158" i="1"/>
  <c r="J157" i="1"/>
  <c r="I157" i="1"/>
  <c r="J156" i="1"/>
  <c r="I156" i="1"/>
  <c r="J155" i="1"/>
  <c r="I155" i="1"/>
  <c r="J154" i="1"/>
  <c r="I154" i="1"/>
  <c r="J153" i="1"/>
  <c r="I153" i="1"/>
  <c r="J152" i="1"/>
  <c r="I152" i="1"/>
  <c r="J151" i="1"/>
  <c r="I151" i="1"/>
  <c r="J150" i="1"/>
  <c r="I150" i="1"/>
  <c r="J149" i="1"/>
  <c r="I149" i="1"/>
  <c r="J148" i="1"/>
  <c r="I148" i="1"/>
  <c r="J147" i="1"/>
  <c r="I147" i="1"/>
  <c r="J146" i="1"/>
  <c r="I146" i="1"/>
  <c r="J145" i="1"/>
  <c r="I145" i="1"/>
  <c r="J144" i="1"/>
  <c r="I144" i="1"/>
  <c r="J143" i="1"/>
  <c r="I143" i="1"/>
  <c r="J142" i="1"/>
  <c r="I142" i="1"/>
  <c r="J141" i="1"/>
  <c r="I141" i="1"/>
  <c r="J140" i="1"/>
  <c r="I140" i="1"/>
  <c r="J139" i="1"/>
  <c r="I139" i="1"/>
  <c r="J138" i="1"/>
  <c r="I138" i="1"/>
  <c r="J137" i="1"/>
  <c r="I137" i="1"/>
  <c r="J136" i="1"/>
  <c r="I136" i="1"/>
  <c r="J135" i="1"/>
  <c r="I135" i="1"/>
  <c r="J134" i="1"/>
  <c r="I134" i="1"/>
  <c r="J133" i="1"/>
  <c r="I133" i="1"/>
  <c r="J132" i="1"/>
  <c r="I132" i="1"/>
  <c r="J131" i="1"/>
  <c r="I131" i="1"/>
  <c r="J130" i="1"/>
  <c r="I130" i="1"/>
  <c r="J129" i="1"/>
  <c r="I129" i="1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</calcChain>
</file>

<file path=xl/sharedStrings.xml><?xml version="1.0" encoding="utf-8"?>
<sst xmlns="http://schemas.openxmlformats.org/spreadsheetml/2006/main" count="1230" uniqueCount="786">
  <si>
    <t>TEL001</t>
  </si>
  <si>
    <t>O Sayonara</t>
  </si>
  <si>
    <t>Sooraj Santhosh</t>
  </si>
  <si>
    <t>1 - Nenokkadine</t>
  </si>
  <si>
    <t>Telugu</t>
  </si>
  <si>
    <t>Romantic - Sad</t>
  </si>
  <si>
    <t>8m</t>
  </si>
  <si>
    <t>TEL002</t>
  </si>
  <si>
    <t>You're My Love</t>
  </si>
  <si>
    <t>Devi Sri Prasad, Piyush Kapoor</t>
  </si>
  <si>
    <t>Romantic</t>
  </si>
  <si>
    <t>5.2m</t>
  </si>
  <si>
    <t>TEL003</t>
  </si>
  <si>
    <t>Who Are You?</t>
  </si>
  <si>
    <t>Devi Sri Prasad</t>
  </si>
  <si>
    <t>Inspirational</t>
  </si>
  <si>
    <t>6.9m</t>
  </si>
  <si>
    <t>TEL004</t>
  </si>
  <si>
    <t>Aho Balu</t>
  </si>
  <si>
    <t>K.G. Ranjith, Sri Charan</t>
  </si>
  <si>
    <t>100% Love</t>
  </si>
  <si>
    <t>Youth/College vibe</t>
  </si>
  <si>
    <t>806k</t>
  </si>
  <si>
    <t>TEL005</t>
  </si>
  <si>
    <t>Infatuation</t>
  </si>
  <si>
    <t>Adnan Sami</t>
  </si>
  <si>
    <t>1m</t>
  </si>
  <si>
    <t>TEL006</t>
  </si>
  <si>
    <t>Thiru Thiru Gananadha</t>
  </si>
  <si>
    <t>Harini</t>
  </si>
  <si>
    <t>Devotional</t>
  </si>
  <si>
    <t>1.6m</t>
  </si>
  <si>
    <t>TEL007</t>
  </si>
  <si>
    <t>Yedhalo Oka Mounam (The Innocence of Love)</t>
  </si>
  <si>
    <t>Ajesh Ashok</t>
  </si>
  <si>
    <t>18m</t>
  </si>
  <si>
    <t>TEL008</t>
  </si>
  <si>
    <t>Kannuladha (The Kiss of Love)</t>
  </si>
  <si>
    <t>Shruti Haasan, Dhanush</t>
  </si>
  <si>
    <t>46m</t>
  </si>
  <si>
    <t>TEL009</t>
  </si>
  <si>
    <t>Po Ve Po (The Pain of Love)</t>
  </si>
  <si>
    <t>Anirudh Ravichander, Mohit Chauhan</t>
  </si>
  <si>
    <t>Sad</t>
  </si>
  <si>
    <t>TEL010</t>
  </si>
  <si>
    <t>Oo Antava Oo Oo Antava</t>
  </si>
  <si>
    <t>Indravathi Chauhan</t>
  </si>
  <si>
    <t>Pushpa - The Rise (Part - 01)</t>
  </si>
  <si>
    <t>Item, Mass</t>
  </si>
  <si>
    <t>507m</t>
  </si>
  <si>
    <t>TEL011</t>
  </si>
  <si>
    <t>Eyy Bidda Idhi Naa Adda</t>
  </si>
  <si>
    <t>Nakash Aziz</t>
  </si>
  <si>
    <t>Mass (Energy), Inspirational</t>
  </si>
  <si>
    <t>138m</t>
  </si>
  <si>
    <t>TEL012</t>
  </si>
  <si>
    <t>Daakko Daakko Meka</t>
  </si>
  <si>
    <t>Sivam</t>
  </si>
  <si>
    <t>Mass</t>
  </si>
  <si>
    <t>58m</t>
  </si>
  <si>
    <t>TEL013</t>
  </si>
  <si>
    <t>Saami Saami</t>
  </si>
  <si>
    <t>Mounika Yadav</t>
  </si>
  <si>
    <t>760m</t>
  </si>
  <si>
    <t>TEL014</t>
  </si>
  <si>
    <t>Why This Kolaveri Di? (The Soup of Love)</t>
  </si>
  <si>
    <t>Anirudh Ravichander, Dhanush</t>
  </si>
  <si>
    <t>581m</t>
  </si>
  <si>
    <t>TEL015</t>
  </si>
  <si>
    <t>Muthyala Dhaarani</t>
  </si>
  <si>
    <t>Karthik, Megha</t>
  </si>
  <si>
    <t>7th Sense</t>
  </si>
  <si>
    <t>Romantic (Love)</t>
  </si>
  <si>
    <t>23m</t>
  </si>
  <si>
    <t>TEL016</t>
  </si>
  <si>
    <t>Yellae Lama</t>
  </si>
  <si>
    <t>Karthik, Vijay Prakash, Pop Shalini, Rita Thyagarajan</t>
  </si>
  <si>
    <t>Pop</t>
  </si>
  <si>
    <t>17m</t>
  </si>
  <si>
    <t>TEL017</t>
  </si>
  <si>
    <t>Amma Amma</t>
  </si>
  <si>
    <t>S.P. Balasubrahmanyam, Shweta Mohan</t>
  </si>
  <si>
    <t>13m</t>
  </si>
  <si>
    <t>TEL018</t>
  </si>
  <si>
    <t>Nee Paata Madhuram (The Touch of Love)</t>
  </si>
  <si>
    <t>Roop Kumar Rathod, Shreya Ghoshal</t>
  </si>
  <si>
    <t>60m</t>
  </si>
  <si>
    <t>TEL019</t>
  </si>
  <si>
    <t>Kalalu Kane Kaalaalu</t>
  </si>
  <si>
    <t>Harish Raghavendra, Srimathumitha, Ustad Sultan Khan</t>
  </si>
  <si>
    <t>7/G Brundhavana Colony</t>
  </si>
  <si>
    <t>3.2m</t>
  </si>
  <si>
    <t>TEL020</t>
  </si>
  <si>
    <t>Kannula Baasalu</t>
  </si>
  <si>
    <t>Karthik</t>
  </si>
  <si>
    <t>81m</t>
  </si>
  <si>
    <t>TEL021</t>
  </si>
  <si>
    <t>Mem Vayasuku Vacham</t>
  </si>
  <si>
    <t>P. Unnikrishnan, Pop Shalini, Ganga</t>
  </si>
  <si>
    <t>Youth, Romantic</t>
  </si>
  <si>
    <t>1.9m</t>
  </si>
  <si>
    <t>TEL022</t>
  </si>
  <si>
    <t>Thalachi Thalachi (Male)</t>
  </si>
  <si>
    <t>Yuvan Shankar Raja, KK, Siva Ganesh</t>
  </si>
  <si>
    <t>4.5m</t>
  </si>
  <si>
    <t>TEL023</t>
  </si>
  <si>
    <t>Swathi Reddy</t>
  </si>
  <si>
    <t>Bheems Ceciroleo, Swathi Reddy UK</t>
  </si>
  <si>
    <t>(MAD)2</t>
  </si>
  <si>
    <t>Mass (Energy)</t>
  </si>
  <si>
    <t>30m</t>
  </si>
  <si>
    <t>TEL024</t>
  </si>
  <si>
    <t>Amigo</t>
  </si>
  <si>
    <t>Inno Genga</t>
  </si>
  <si>
    <t>A1 Express</t>
  </si>
  <si>
    <t>Love</t>
  </si>
  <si>
    <t>4.3m</t>
  </si>
  <si>
    <t>TEL025</t>
  </si>
  <si>
    <t>Single Kingulam</t>
  </si>
  <si>
    <t>Hiphop Tamizha, Rahul Sipligunj</t>
  </si>
  <si>
    <t>39m</t>
  </si>
  <si>
    <t>TEL026</t>
  </si>
  <si>
    <t>Adede Tholiprema</t>
  </si>
  <si>
    <t>Rahul Nambiar, Priya Hemesh</t>
  </si>
  <si>
    <t>Aadu Magadra Bujji</t>
  </si>
  <si>
    <t>8.7k</t>
  </si>
  <si>
    <t>TEL027</t>
  </si>
  <si>
    <t>Naari Naari</t>
  </si>
  <si>
    <t>Thaman S, Divya S. Menon</t>
  </si>
  <si>
    <t>Aagadu</t>
  </si>
  <si>
    <t>7.6m</t>
  </si>
  <si>
    <t>TEL028</t>
  </si>
  <si>
    <t>Junction Lo</t>
  </si>
  <si>
    <t>Shruti Haasan, Simha, Bheems</t>
  </si>
  <si>
    <t>6.4m</t>
  </si>
  <si>
    <t>TEL029</t>
  </si>
  <si>
    <t>Hoyna</t>
  </si>
  <si>
    <t>Karthik, K.S. Chithra</t>
  </si>
  <si>
    <t>Aata</t>
  </si>
  <si>
    <t>36m</t>
  </si>
  <si>
    <t>TEL030</t>
  </si>
  <si>
    <t>Ninu Choosthunte</t>
  </si>
  <si>
    <t>Siddharth Suryanarayan, Sumangali</t>
  </si>
  <si>
    <t>Romantic - Duet</t>
  </si>
  <si>
    <t>1.3m</t>
  </si>
  <si>
    <t>TEL031</t>
  </si>
  <si>
    <t>Malli Malli</t>
  </si>
  <si>
    <t>Hiphop Tamizha, Aditya Iyengar</t>
  </si>
  <si>
    <t>Agent</t>
  </si>
  <si>
    <t>3.5m</t>
  </si>
  <si>
    <t>TEL032</t>
  </si>
  <si>
    <t>Padessavae</t>
  </si>
  <si>
    <t>Karthik, M.M. Manasi</t>
  </si>
  <si>
    <t>Akhil - The Power of Jua</t>
  </si>
  <si>
    <t>8.1m</t>
  </si>
  <si>
    <t>TEL033</t>
  </si>
  <si>
    <t>Zara Zaraa Navvaradhe</t>
  </si>
  <si>
    <t>Anup Rubens, Mohit Chauhan, Shekhar Chandra</t>
  </si>
  <si>
    <t>2.5m</t>
  </si>
  <si>
    <t>TEL034</t>
  </si>
  <si>
    <t>Nennekkadunte (Energy)</t>
  </si>
  <si>
    <t>Anup Rubens, Rahul Rido, Sharanya Srinivas, K.G. Ranjith</t>
  </si>
  <si>
    <t>287k</t>
  </si>
  <si>
    <t>TEL035</t>
  </si>
  <si>
    <t>Hey Akhil</t>
  </si>
  <si>
    <t>Anup Rubens, Rahul Pandey</t>
  </si>
  <si>
    <t>1.8m</t>
  </si>
  <si>
    <t>TEL036</t>
  </si>
  <si>
    <t>Ammayi (Telugu)</t>
  </si>
  <si>
    <t>Raghav Chaitanya, Pritam Chakraborty, Anantha Sriram</t>
  </si>
  <si>
    <t>Animal (Telugu)</t>
  </si>
  <si>
    <t>19m</t>
  </si>
  <si>
    <t>TEL037</t>
  </si>
  <si>
    <t>Evarevaro</t>
  </si>
  <si>
    <t>Vishal Mishra</t>
  </si>
  <si>
    <t>70m</t>
  </si>
  <si>
    <t>TEL038</t>
  </si>
  <si>
    <t>Naaku Neeku Nokia</t>
  </si>
  <si>
    <t>Kunal Ganjawala, Vasundhara Das</t>
  </si>
  <si>
    <t>Aparichithudu</t>
  </si>
  <si>
    <t>20m</t>
  </si>
  <si>
    <t>TEL039</t>
  </si>
  <si>
    <t>Kondakaki</t>
  </si>
  <si>
    <t>KK, Jassie Gift, Sujatha Mohan</t>
  </si>
  <si>
    <t>Folk</t>
  </si>
  <si>
    <t>TEL040</t>
  </si>
  <si>
    <t>Pilichina Ranantava</t>
  </si>
  <si>
    <t>Karthik, Kavita Krishnamurthy</t>
  </si>
  <si>
    <t>Athadu</t>
  </si>
  <si>
    <t>34m</t>
  </si>
  <si>
    <t>TEL041</t>
  </si>
  <si>
    <t>Avunu NIzam</t>
  </si>
  <si>
    <t>KK, Sunitha Upadrashta</t>
  </si>
  <si>
    <t>TEL042</t>
  </si>
  <si>
    <t>Chandamama</t>
  </si>
  <si>
    <t>K.G. Ranjith, Mahalakshmi Iyer</t>
  </si>
  <si>
    <t>1.5m</t>
  </si>
  <si>
    <t>TEL043</t>
  </si>
  <si>
    <t>Amba Dari</t>
  </si>
  <si>
    <t>L.V. Revanth &amp; Sravana Bhargavi</t>
  </si>
  <si>
    <t>Badrenath</t>
  </si>
  <si>
    <t>4.7m</t>
  </si>
  <si>
    <t>TEL044</t>
  </si>
  <si>
    <t>Dheevara</t>
  </si>
  <si>
    <t>Ramya Behara, Deepu</t>
  </si>
  <si>
    <t>Baahubali - The Beginning</t>
  </si>
  <si>
    <t>TEL045</t>
  </si>
  <si>
    <t>Manohari</t>
  </si>
  <si>
    <t>Mohana Bhogaraju, L.V. Revanth</t>
  </si>
  <si>
    <t>51m</t>
  </si>
  <si>
    <t>TEL046</t>
  </si>
  <si>
    <t>Pacha Bottesi</t>
  </si>
  <si>
    <t>Karthik, Damini Bhatla</t>
  </si>
  <si>
    <t>TEL047</t>
  </si>
  <si>
    <t>Yaevaindho</t>
  </si>
  <si>
    <t>S.P. Balasubrahmanyam, Geetha Madhuri</t>
  </si>
  <si>
    <t>4.1m</t>
  </si>
  <si>
    <t>TEL048</t>
  </si>
  <si>
    <t>Kajalu Chellivaa</t>
  </si>
  <si>
    <t>Thaman S, Ravi Teja</t>
  </si>
  <si>
    <t>TEL049</t>
  </si>
  <si>
    <t>O Pilla Pilla</t>
  </si>
  <si>
    <t>David Simon, Rita Thyagarajan</t>
  </si>
  <si>
    <t>Bhai</t>
  </si>
  <si>
    <t>229k</t>
  </si>
  <si>
    <t>TEL050</t>
  </si>
  <si>
    <t>Chanti Pillala</t>
  </si>
  <si>
    <t>Vijai Bulganin, Anudeep Devarakonda, Suresh Banisetti</t>
  </si>
  <si>
    <t>Baby</t>
  </si>
  <si>
    <t>14m</t>
  </si>
  <si>
    <t>HIN001</t>
  </si>
  <si>
    <t>Har Kisi Ko</t>
  </si>
  <si>
    <t>Nikhil D'Souza</t>
  </si>
  <si>
    <t>Boss</t>
  </si>
  <si>
    <t>Hindi</t>
  </si>
  <si>
    <t>9.5m</t>
  </si>
  <si>
    <t>HIN002</t>
  </si>
  <si>
    <t>Party All Night</t>
  </si>
  <si>
    <t>Yo Yo Honey Singh, Sahil Kaushal &amp; Manoj Yadav</t>
  </si>
  <si>
    <t>Party</t>
  </si>
  <si>
    <t>229m</t>
  </si>
  <si>
    <t>HIN003</t>
  </si>
  <si>
    <t>Slow Motion</t>
  </si>
  <si>
    <t>Nakash Aziz, Neeti Mohan</t>
  </si>
  <si>
    <t>Bharat</t>
  </si>
  <si>
    <t>204m</t>
  </si>
  <si>
    <t>HIN004</t>
  </si>
  <si>
    <t>Lungi Dance</t>
  </si>
  <si>
    <t>Yo Yo Honey Singh &amp; Lil Golu</t>
  </si>
  <si>
    <t>Chennai Express</t>
  </si>
  <si>
    <t>548m</t>
  </si>
  <si>
    <t>HIN005</t>
  </si>
  <si>
    <t>Chura Liya</t>
  </si>
  <si>
    <t>Sachet Tandon, Parampara Tandon &amp; Irshad Kamil</t>
  </si>
  <si>
    <t>131m</t>
  </si>
  <si>
    <t>HIN006</t>
  </si>
  <si>
    <t>Sun Zara</t>
  </si>
  <si>
    <t>Devi Sri Prasad, Papon, Shreya Ghoshal</t>
  </si>
  <si>
    <t>Cirkus</t>
  </si>
  <si>
    <t>55m</t>
  </si>
  <si>
    <t>HIN007</t>
  </si>
  <si>
    <t>Tera Naam Japdi Phiran</t>
  </si>
  <si>
    <t>Shefali Alvares, Nikhil D'Souza &amp; Javed Bashir</t>
  </si>
  <si>
    <t>Cocktail</t>
  </si>
  <si>
    <t>HIN008</t>
  </si>
  <si>
    <t>Second Hand Jawaani</t>
  </si>
  <si>
    <t>Miss Pooja, Neha Kakkar &amp; Nakash Aziz</t>
  </si>
  <si>
    <t>Fun</t>
  </si>
  <si>
    <t>83m</t>
  </si>
  <si>
    <t>HIN009</t>
  </si>
  <si>
    <t>Mast Magan</t>
  </si>
  <si>
    <t>Arijit Singh, Chinmayi Sripada</t>
  </si>
  <si>
    <t>2 States</t>
  </si>
  <si>
    <t>150m</t>
  </si>
  <si>
    <t>HIN010</t>
  </si>
  <si>
    <t>Aal Izz Well</t>
  </si>
  <si>
    <t>Sonu Nigam, Swanand Kirkire &amp; Shaan</t>
  </si>
  <si>
    <t>3 Idiots</t>
  </si>
  <si>
    <t>91m</t>
  </si>
  <si>
    <t>HIN011</t>
  </si>
  <si>
    <t>Raataan Lambiyan</t>
  </si>
  <si>
    <t>Jubin Nautiyal, Asees Kaur</t>
  </si>
  <si>
    <t>Shershaah</t>
  </si>
  <si>
    <t>949m</t>
  </si>
  <si>
    <t>HIN012</t>
  </si>
  <si>
    <t>Khuda Haafiz</t>
  </si>
  <si>
    <t>Arko, Arijit Singh, Manoj Muntashir</t>
  </si>
  <si>
    <t>The Body</t>
  </si>
  <si>
    <t>8.8m</t>
  </si>
  <si>
    <t>HIN013</t>
  </si>
  <si>
    <t>Aaina</t>
  </si>
  <si>
    <t>Arko, Tulsi Kumar, Neha Kakkar</t>
  </si>
  <si>
    <t>9.8m</t>
  </si>
  <si>
    <t>HIN014</t>
  </si>
  <si>
    <t>Main Janta Hoon</t>
  </si>
  <si>
    <t>Jubin Nautiyal, Shamir Tandon, Sameer Anjaan</t>
  </si>
  <si>
    <t>HIN015</t>
  </si>
  <si>
    <t>Tere Siva Jag Mein</t>
  </si>
  <si>
    <t>Shilpa Rao, Darshan Raval, Shashwat Singh, Charan</t>
  </si>
  <si>
    <t>Tadap</t>
  </si>
  <si>
    <t>26m</t>
  </si>
  <si>
    <t>HIN016</t>
  </si>
  <si>
    <t>Tu Mera Hogaya Hai</t>
  </si>
  <si>
    <t>Jubin Nautiayal</t>
  </si>
  <si>
    <t>31m</t>
  </si>
  <si>
    <t>HIN017</t>
  </si>
  <si>
    <t>Tumse Bhi Zyada</t>
  </si>
  <si>
    <t>Arijit Singh</t>
  </si>
  <si>
    <t>175m</t>
  </si>
  <si>
    <t>HIN018</t>
  </si>
  <si>
    <t>Gallan</t>
  </si>
  <si>
    <t>Talwiinder, Nds, MC Square</t>
  </si>
  <si>
    <t>Teri Baaton Mein Aisa Uljha Jiya</t>
  </si>
  <si>
    <t>HIN019</t>
  </si>
  <si>
    <t>Akhiyaan Gulaab</t>
  </si>
  <si>
    <t>Mitraz</t>
  </si>
  <si>
    <t>321m</t>
  </si>
  <si>
    <t>HIN020</t>
  </si>
  <si>
    <t>Tum Se</t>
  </si>
  <si>
    <t>Raghav Chaitanya, Varun Jain</t>
  </si>
  <si>
    <t>237m</t>
  </si>
  <si>
    <t>HIN021</t>
  </si>
  <si>
    <t>Manike</t>
  </si>
  <si>
    <t>Yohani, Jubin Nautiyal, Surya Raghunathan, Tanishk Bagchi, Chamath Sangeeth, Rashmi Virag, Dulan ARX, Mellow D</t>
  </si>
  <si>
    <t>Thank God</t>
  </si>
  <si>
    <t>289m</t>
  </si>
  <si>
    <t>HIN022</t>
  </si>
  <si>
    <t>Tere Pyaar Mein</t>
  </si>
  <si>
    <t>Arijit Singh, Nikhita Gandhi</t>
  </si>
  <si>
    <t>Tu Jhoothi Main Makkaar</t>
  </si>
  <si>
    <t>92m</t>
  </si>
  <si>
    <t>HIN023</t>
  </si>
  <si>
    <t>Chal Maar</t>
  </si>
  <si>
    <t>Sajid-Wajid</t>
  </si>
  <si>
    <t>Tutak Tutak Tutiya</t>
  </si>
  <si>
    <t>HIN024</t>
  </si>
  <si>
    <t>Chalte Chalte</t>
  </si>
  <si>
    <t>Vishal Mishra &amp; Arijit Singh</t>
  </si>
  <si>
    <t>5.9m</t>
  </si>
  <si>
    <t>HIN025</t>
  </si>
  <si>
    <t>Dil Ke Paas</t>
  </si>
  <si>
    <t>Abhijit Vaghani,Kalyanji-Anandji, Arijit Singh, Tulsi Kumar, Neuman Pinto, Rajendra Krishna</t>
  </si>
  <si>
    <t>Wajah Tum Ho</t>
  </si>
  <si>
    <t>HIN026</t>
  </si>
  <si>
    <t>Ghungroo</t>
  </si>
  <si>
    <t>Arijit Singh, Shilpa Rao</t>
  </si>
  <si>
    <t>War</t>
  </si>
  <si>
    <t>496m</t>
  </si>
  <si>
    <t>HIN027</t>
  </si>
  <si>
    <t>Janaab-E-Aali</t>
  </si>
  <si>
    <t>Sachet Tandon, Saaj Bhatt</t>
  </si>
  <si>
    <t>War 2</t>
  </si>
  <si>
    <t>67m</t>
  </si>
  <si>
    <t>HIN028</t>
  </si>
  <si>
    <t>Aavan Jaavan</t>
  </si>
  <si>
    <t>136m</t>
  </si>
  <si>
    <t>HIN029</t>
  </si>
  <si>
    <t>Mumbai Ke Hero</t>
  </si>
  <si>
    <t>Chirrantan Bhatt, Mika Singh, Talia Bentson</t>
  </si>
  <si>
    <t>Zanjeer</t>
  </si>
  <si>
    <t>Dance</t>
  </si>
  <si>
    <t>HIN030</t>
  </si>
  <si>
    <t>Lamha Tera Mera</t>
  </si>
  <si>
    <t>Chirrantan Bhatt, Wajhi Farooki, Palak Muchhal</t>
  </si>
  <si>
    <t>HIN031</t>
  </si>
  <si>
    <t>Kesariya</t>
  </si>
  <si>
    <t>Arijit Singh, Amitabh Bhattacharya, Jonita Gandhi</t>
  </si>
  <si>
    <t>Brahmastra</t>
  </si>
  <si>
    <t>607m</t>
  </si>
  <si>
    <t>HIN032</t>
  </si>
  <si>
    <t>Rasiya</t>
  </si>
  <si>
    <t>Shreya Ghoshal, Tushar Joshi</t>
  </si>
  <si>
    <t>Romantic, Melody</t>
  </si>
  <si>
    <t>37m</t>
  </si>
  <si>
    <t>HIN033</t>
  </si>
  <si>
    <t>Deva Deva</t>
  </si>
  <si>
    <t>211m</t>
  </si>
  <si>
    <t>HIN034</t>
  </si>
  <si>
    <t>Deedar De</t>
  </si>
  <si>
    <t>Asees Kaur, Dev Negi, Panchhi Jalonvi</t>
  </si>
  <si>
    <t>Chhalaang</t>
  </si>
  <si>
    <t>71m</t>
  </si>
  <si>
    <t>HIN035</t>
  </si>
  <si>
    <t>Khairiyat (Happy)</t>
  </si>
  <si>
    <t>Chhichhore</t>
  </si>
  <si>
    <t>1.2b</t>
  </si>
  <si>
    <t>HIN036</t>
  </si>
  <si>
    <t>Control</t>
  </si>
  <si>
    <t>Nakash Aziz, Manish J. Tipu, Geetsagar, Sreerama Chandra, Amitabh Bhattacharya</t>
  </si>
  <si>
    <t>Party/Youth</t>
  </si>
  <si>
    <t>9.7m</t>
  </si>
  <si>
    <t>HIN037</t>
  </si>
  <si>
    <t>Current Laga Re</t>
  </si>
  <si>
    <t>Lijo George, DJ Chetas, Nakash Aziz, Dhvani Bhanushali, Jonita Gandhi, Vivek Hariharan, Kumaar, Hari</t>
  </si>
  <si>
    <t>115m</t>
  </si>
  <si>
    <t>HIN038</t>
  </si>
  <si>
    <t>Tera Baap Aaya</t>
  </si>
  <si>
    <t>Farhad Bhiwandiwala</t>
  </si>
  <si>
    <t>Commando 3</t>
  </si>
  <si>
    <t>Mass (Energy)/Inspirational</t>
  </si>
  <si>
    <t>213m</t>
  </si>
  <si>
    <t>HIN039</t>
  </si>
  <si>
    <t>Sawan Aaya Hai</t>
  </si>
  <si>
    <t>Mithoon, Tony Kakkar, Arijit Singh</t>
  </si>
  <si>
    <t>Creature 3D</t>
  </si>
  <si>
    <t>201m</t>
  </si>
  <si>
    <t>HIN040</t>
  </si>
  <si>
    <t>Dhoom Machale</t>
  </si>
  <si>
    <t>Pritam, Sunidhi Chauhan, Sameer</t>
  </si>
  <si>
    <t>Dhoom</t>
  </si>
  <si>
    <t>Theme/Entry song</t>
  </si>
  <si>
    <t>399m</t>
  </si>
  <si>
    <t>HIN041</t>
  </si>
  <si>
    <t>Dhoom Again</t>
  </si>
  <si>
    <t>Pritam, Dominique Cerejo, Vishal Dadlani, Sameer</t>
  </si>
  <si>
    <t>Dhoom: 2</t>
  </si>
  <si>
    <t>57m</t>
  </si>
  <si>
    <t>HIN042</t>
  </si>
  <si>
    <t>Crazy Kiya Re</t>
  </si>
  <si>
    <t>Item, Dance</t>
  </si>
  <si>
    <t>293m</t>
  </si>
  <si>
    <t>HIN043</t>
  </si>
  <si>
    <t>Ishq Jalakar - Karvaan</t>
  </si>
  <si>
    <t>Shashwat Sachdev, Roshan, Shahzad Ali, Subhadeep Das Chowdhury, Armaan Khan, Sahir Ludhianvi, Irshad Kamil</t>
  </si>
  <si>
    <t>Dhurandhar</t>
  </si>
  <si>
    <t>Sad, Melody</t>
  </si>
  <si>
    <t>99m</t>
  </si>
  <si>
    <t>HIN044</t>
  </si>
  <si>
    <t>Shararat</t>
  </si>
  <si>
    <t>Shashwat Sachdev, Jasmine Sandlas, Madhubanti Bagchi</t>
  </si>
  <si>
    <t>HIN045</t>
  </si>
  <si>
    <t>Gehra Hua</t>
  </si>
  <si>
    <t>Shashwat Sachdev, Arijit Singh, Armaan Khan, Irshad Kamil</t>
  </si>
  <si>
    <t>181m</t>
  </si>
  <si>
    <t>HIN046</t>
  </si>
  <si>
    <t>Dil Galti Kar Baitha Hai</t>
  </si>
  <si>
    <t>Meet Bros, Shardul Rathod, Jubin Nautiyal, Manoj Muntashir</t>
  </si>
  <si>
    <t>704m</t>
  </si>
  <si>
    <t>HIN047</t>
  </si>
  <si>
    <t>Qayamat</t>
  </si>
  <si>
    <t>White Noise Collectives, Neeraj Shridhar, Shruti Dhasmana, Som</t>
  </si>
  <si>
    <t>Housefull 5</t>
  </si>
  <si>
    <t>40m</t>
  </si>
  <si>
    <t>HIN048</t>
  </si>
  <si>
    <t>Ek Do Teen</t>
  </si>
  <si>
    <t>Shreya Ghoshal, Parry Gripp</t>
  </si>
  <si>
    <t>Baaghi 2</t>
  </si>
  <si>
    <t>267m</t>
  </si>
  <si>
    <t>HIN049</t>
  </si>
  <si>
    <t>Soniye Dil Nayi</t>
  </si>
  <si>
    <t>Ankit Tiwari, Shruti Pathak</t>
  </si>
  <si>
    <t>49m</t>
  </si>
  <si>
    <t>HIN050</t>
  </si>
  <si>
    <t>Sab Tera</t>
  </si>
  <si>
    <t>Armaan Malik, Shraddha Kapoor</t>
  </si>
  <si>
    <t>Baaghi</t>
  </si>
  <si>
    <t>171m</t>
  </si>
  <si>
    <t>TAM001</t>
  </si>
  <si>
    <t>Monica</t>
  </si>
  <si>
    <t>Anirudh Ravichander, Sublahshini, Asal Kolaar, Vishnu Edavan</t>
  </si>
  <si>
    <t>Coolie</t>
  </si>
  <si>
    <t>Tamil</t>
  </si>
  <si>
    <t>Party, Dance</t>
  </si>
  <si>
    <t>282m</t>
  </si>
  <si>
    <t>TAM002</t>
  </si>
  <si>
    <t>Head Up High</t>
  </si>
  <si>
    <t>Yuvan Shankar Raja, Asal Kolaar, Arun Kaundinya, Karunkaran, Shri Shivani VP</t>
  </si>
  <si>
    <t>Custody</t>
  </si>
  <si>
    <t>Party, Dance, Mass</t>
  </si>
  <si>
    <t>29m</t>
  </si>
  <si>
    <t>TAM003</t>
  </si>
  <si>
    <t>Ammani Rukkumani</t>
  </si>
  <si>
    <t>Ilaiyaraaja, Premgi Amaran, M.M. Manasi, Muthamil</t>
  </si>
  <si>
    <t>48k</t>
  </si>
  <si>
    <t>TAM004</t>
  </si>
  <si>
    <t>Endhira Logathu Sundariye</t>
  </si>
  <si>
    <t>A.R. Rahman, Sid Sriram, Shashaa Tirupati, Madhan Karky Vairamuthu</t>
  </si>
  <si>
    <t>2.0 (Tamil)</t>
  </si>
  <si>
    <t>35m</t>
  </si>
  <si>
    <t>TAM005</t>
  </si>
  <si>
    <t>Naan Un</t>
  </si>
  <si>
    <t>A.R. Rahman, Arijit Singh, Chinmayi Sripada, Madhan Karky Vairamuthu</t>
  </si>
  <si>
    <t>24 (Tamil)</t>
  </si>
  <si>
    <t>54m</t>
  </si>
  <si>
    <t>TAM006</t>
  </si>
  <si>
    <t>Kaalam Yen Kadhali</t>
  </si>
  <si>
    <t>A.R. Rahman, Benny Dayal, Vairamuthu</t>
  </si>
  <si>
    <t>Futuristic/Sci-Fi</t>
  </si>
  <si>
    <t>3.8m</t>
  </si>
  <si>
    <t>TAM007</t>
  </si>
  <si>
    <t>Punnagaye</t>
  </si>
  <si>
    <t>A.R. Rahman, Haricharan Seshadri, Shashaa Tirupati, Vairamuthu</t>
  </si>
  <si>
    <t>TAM008</t>
  </si>
  <si>
    <t>Mei Nigara</t>
  </si>
  <si>
    <t>A.R. Rahman, Sid Sriram, Sanah Moidutty, Jonita Gandhi, Madhan Karky Vairamuthu</t>
  </si>
  <si>
    <t>TAM009</t>
  </si>
  <si>
    <t>Idhazhin Oram (The Innocence of Love)</t>
  </si>
  <si>
    <t>Anirudh Ravichander, Ajesh Ashok</t>
  </si>
  <si>
    <t>155m</t>
  </si>
  <si>
    <t>TAM010</t>
  </si>
  <si>
    <t>Oh Ringa Ringa</t>
  </si>
  <si>
    <t>Harris Jayaraj, Benny Dayal, Jerry John, Suchitra, Roshan, Pa. Vijay</t>
  </si>
  <si>
    <t>7aum Arivu</t>
  </si>
  <si>
    <t>TAM011</t>
  </si>
  <si>
    <t>Mun Andhi</t>
  </si>
  <si>
    <t>Harris Jayaraj, Karthik, Megha, Na. Muthukumar</t>
  </si>
  <si>
    <t>45m</t>
  </si>
  <si>
    <t>TAM012</t>
  </si>
  <si>
    <t>Harris Jayaraj, Karthik, Vijay Prakash, Pop Shalini, Shruti Haasan, Na. Muthukumar</t>
  </si>
  <si>
    <t>52m</t>
  </si>
  <si>
    <t>TAM013</t>
  </si>
  <si>
    <t>Hasili Fisiliye</t>
  </si>
  <si>
    <t>Harris Jayaraj, Karthik, Harini, Dr. Burn, Benny Dayal, Maya, Pa. Vijay</t>
  </si>
  <si>
    <t>Aadhavan</t>
  </si>
  <si>
    <t>22m</t>
  </si>
  <si>
    <t>TAM014</t>
  </si>
  <si>
    <t>Damakku Damakku</t>
  </si>
  <si>
    <t>Harris Jayaraj, Benny Dayal, Na. Muthukumar</t>
  </si>
  <si>
    <t>Mass, Dance</t>
  </si>
  <si>
    <t>61m</t>
  </si>
  <si>
    <t>TAM015</t>
  </si>
  <si>
    <t>Vaarayo Vaarayo</t>
  </si>
  <si>
    <t>Harris Jayaraj, P. Unnikrishnan, Chinmayi Sripada, Megha, Kabilan</t>
  </si>
  <si>
    <t>50m</t>
  </si>
  <si>
    <t>TAM016</t>
  </si>
  <si>
    <t>Yeno Yeno Panithuli</t>
  </si>
  <si>
    <t>Harris Jayaraj, Shail Hada, Sudha Raghunathan, Andrea Jeremiah, Thamarai</t>
  </si>
  <si>
    <t>TAM017</t>
  </si>
  <si>
    <t>Vaa Vaa Vaa Vennila</t>
  </si>
  <si>
    <t>Hiphop Tamizha, Mohit Chauhan, Amrita Shekar &amp; Nirthya Maria Andrews</t>
  </si>
  <si>
    <t>Aambala</t>
  </si>
  <si>
    <t>TAM018</t>
  </si>
  <si>
    <t>Madras To Madurai</t>
  </si>
  <si>
    <t>Hiphop Tamizha, Kailash Kher, Vishnupriya Ravi &amp; Maria Roe Vincent</t>
  </si>
  <si>
    <t>TAM019</t>
  </si>
  <si>
    <t>Pazhagikalam</t>
  </si>
  <si>
    <t>Hiphop Tamizha</t>
  </si>
  <si>
    <t>TAM020</t>
  </si>
  <si>
    <t>Arabic Kuthu - Halamithi Habibo</t>
  </si>
  <si>
    <t>Anirudh Ravichander, Jonita Gandhi, Sivakarthikeyan</t>
  </si>
  <si>
    <t>Beast</t>
  </si>
  <si>
    <t>782m</t>
  </si>
  <si>
    <t>TAM021</t>
  </si>
  <si>
    <t>Oo Solriya Oo Oo Solriya</t>
  </si>
  <si>
    <t>Andrea Jeremiah</t>
  </si>
  <si>
    <t>142m</t>
  </si>
  <si>
    <t>TAM022</t>
  </si>
  <si>
    <t>Jessica</t>
  </si>
  <si>
    <t>Thaman S</t>
  </si>
  <si>
    <t>Prince</t>
  </si>
  <si>
    <t>7.4m</t>
  </si>
  <si>
    <t>TAM023</t>
  </si>
  <si>
    <t>Kalloorum Poove</t>
  </si>
  <si>
    <t>Vijay Antony, Sarath Santhosh, Madhushree, Arun Bharathi</t>
  </si>
  <si>
    <t>Pichaikkaran 2</t>
  </si>
  <si>
    <t>2.8m</t>
  </si>
  <si>
    <t>TAM024</t>
  </si>
  <si>
    <t>Nana Buluku</t>
  </si>
  <si>
    <t>Vijay Antony, Kharesma Ravichandran, Arun Bharathi</t>
  </si>
  <si>
    <t>8.6m</t>
  </si>
  <si>
    <t>TAM025</t>
  </si>
  <si>
    <t>Koyil Silaye</t>
  </si>
  <si>
    <t>Vijay Antony, Nivas, Arun Bharathi</t>
  </si>
  <si>
    <t>4.8m</t>
  </si>
  <si>
    <t>TAM026</t>
  </si>
  <si>
    <t>Oru Kan Jaadai</t>
  </si>
  <si>
    <t>Yuvan Shankar Raja, Benny Dayal, Shweta Pandit, Viveka</t>
  </si>
  <si>
    <t>Anjaan</t>
  </si>
  <si>
    <t>21m</t>
  </si>
  <si>
    <t>TAM027</t>
  </si>
  <si>
    <t>Achacho</t>
  </si>
  <si>
    <t>Hiphop Tamizha, Kharesma Ravichandran, Srinisha Jayaseelan, Vignesh Srikanth</t>
  </si>
  <si>
    <t>Aranmanai 4</t>
  </si>
  <si>
    <t>520m</t>
  </si>
  <si>
    <t>TAM028</t>
  </si>
  <si>
    <t>Mazhai Megam</t>
  </si>
  <si>
    <t>Yuvan Shankar Raja, Priya Jerson, Arunraja Kamaraj</t>
  </si>
  <si>
    <t>Balloon</t>
  </si>
  <si>
    <t>94k</t>
  </si>
  <si>
    <t>TAM029</t>
  </si>
  <si>
    <t>Nahna Na Nah</t>
  </si>
  <si>
    <t>Yuvan Shankar Raja, Devan Ekambaram, Vaali</t>
  </si>
  <si>
    <t>Biriyani</t>
  </si>
  <si>
    <t>7.5m</t>
  </si>
  <si>
    <t>TAM030</t>
  </si>
  <si>
    <t>Pathala</t>
  </si>
  <si>
    <t>Thaman S, Deepak Blue</t>
  </si>
  <si>
    <t>Enemy</t>
  </si>
  <si>
    <t>3.1m</t>
  </si>
  <si>
    <t>TAM031</t>
  </si>
  <si>
    <t>Tum Tum</t>
  </si>
  <si>
    <t>Thaman S, Sri Vardhini, Aditi Bhavaraju, Satya Yamini, Roshini JKV, Tejaswini</t>
  </si>
  <si>
    <t>717m</t>
  </si>
  <si>
    <t>TAM032</t>
  </si>
  <si>
    <t>Arima Arima</t>
  </si>
  <si>
    <t>A.R. Rahman, Hariharan, Sadhana Sargam, Benny Dayal, Naresh Iyer</t>
  </si>
  <si>
    <t>Enthiran</t>
  </si>
  <si>
    <t>Electronic, Dance</t>
  </si>
  <si>
    <t>TAM033</t>
  </si>
  <si>
    <t>Irumbile Oru Idhaiyam</t>
  </si>
  <si>
    <t>A.R. Rahman, Kash n' Krissy, Madhan Karky Vairamuthu</t>
  </si>
  <si>
    <t>Electronic, Dance, Romantic</t>
  </si>
  <si>
    <t>TAM034</t>
  </si>
  <si>
    <t>Kadhal Anukkal</t>
  </si>
  <si>
    <t>A.R. Rahman, Vijay Prakash, Shreya Ghoshal, Vairamuthu</t>
  </si>
  <si>
    <t>Romantic-Pop</t>
  </si>
  <si>
    <t>TAM035</t>
  </si>
  <si>
    <t>Kilimanjaro</t>
  </si>
  <si>
    <t>A.R. Rahman, Javed Ali, Chinmayi Sripada, Pa. Vijay</t>
  </si>
  <si>
    <t>41m</t>
  </si>
  <si>
    <t>TAM036</t>
  </si>
  <si>
    <t>Oru Maalai</t>
  </si>
  <si>
    <t>Harris Jayaraj, Karthik, Thamarai</t>
  </si>
  <si>
    <t>Ghajini</t>
  </si>
  <si>
    <t>TAM037</t>
  </si>
  <si>
    <t>Rahathulla</t>
  </si>
  <si>
    <t>Harris Jayaraj, Annupamaa Krishnaswami, Thamarai</t>
  </si>
  <si>
    <t>3.4m</t>
  </si>
  <si>
    <t>TAM038</t>
  </si>
  <si>
    <t>X-Machi</t>
  </si>
  <si>
    <t>Harris Jayaraj, Nakkhul Jaidev, Mathangi Jagdish, Vaali</t>
  </si>
  <si>
    <t>2.7m</t>
  </si>
  <si>
    <t>TAM039</t>
  </si>
  <si>
    <t>Halena</t>
  </si>
  <si>
    <t>Harris Jayaraj, Christopher Stanley, Abhay Jodhpurkar, Ujjayinee Roy, Madhan Karky Vairamuthu</t>
  </si>
  <si>
    <t>Iru Mugan</t>
  </si>
  <si>
    <t>59m</t>
  </si>
  <si>
    <t>TAM040</t>
  </si>
  <si>
    <t>Oh Maya</t>
  </si>
  <si>
    <t>Harris Jayaraj, N.C. Karunya, Ramya NSK, Thamarai</t>
  </si>
  <si>
    <t>3.7m</t>
  </si>
  <si>
    <t>TAM041</t>
  </si>
  <si>
    <t>Kannai Vittu</t>
  </si>
  <si>
    <t>Harris Jayaraj, Tippu, Pravin Saivi, Srimathumitha, Madhan Karky Vairamuthu</t>
  </si>
  <si>
    <t>TAM042</t>
  </si>
  <si>
    <t>Enakke Enakkaa</t>
  </si>
  <si>
    <t>A.R. Rahman, P. Unnikrishnan, S.P.B. Pallavi, Vairamuthu</t>
  </si>
  <si>
    <t>Jeans</t>
  </si>
  <si>
    <t>TAM043</t>
  </si>
  <si>
    <t>Poovukkul</t>
  </si>
  <si>
    <t>A.R. Rahman, P. Unnikrishnan, Sujatha Mohan, Vairamuthu</t>
  </si>
  <si>
    <t>TAM044</t>
  </si>
  <si>
    <t>Maya Nadhi</t>
  </si>
  <si>
    <t>Santhosh Narayanan, Ananthu, Pradeep Kumar, Shweta Mohan, Uma Devi</t>
  </si>
  <si>
    <t>Kabali</t>
  </si>
  <si>
    <t>Melody</t>
  </si>
  <si>
    <t>TAM045</t>
  </si>
  <si>
    <t>Neruppu Da</t>
  </si>
  <si>
    <t>Santhosh Narayanan, Arunraja Kamaraj</t>
  </si>
  <si>
    <t>Mass, Inspirational</t>
  </si>
  <si>
    <t>68m</t>
  </si>
  <si>
    <t>TAM046</t>
  </si>
  <si>
    <t>Yolo</t>
  </si>
  <si>
    <t>Devi Sri Prasad, Lavita Lobo, Viveka</t>
  </si>
  <si>
    <t>Kanguva</t>
  </si>
  <si>
    <t>TAM047</t>
  </si>
  <si>
    <t>Ennai Vittu</t>
  </si>
  <si>
    <t>Yuvan Shankar Raja, Sid Sriram, Pradeep Ranganathan</t>
  </si>
  <si>
    <t>Love Today</t>
  </si>
  <si>
    <t>TAM048</t>
  </si>
  <si>
    <t>Saachitale</t>
  </si>
  <si>
    <t>Yuvan Shankar Raja, Pradeep Ranganathan</t>
  </si>
  <si>
    <t>TAM049</t>
  </si>
  <si>
    <t>Rowdy Baby</t>
  </si>
  <si>
    <t>Yuvan Shankar Raja, Dhanush, Dhee</t>
  </si>
  <si>
    <t>Maari 2</t>
  </si>
  <si>
    <t>1.7b</t>
  </si>
  <si>
    <t>TAM050</t>
  </si>
  <si>
    <t>Kadhal Valarthen</t>
  </si>
  <si>
    <t>Yuvan Shankar Raja, KK, Pa. Vijay</t>
  </si>
  <si>
    <t>Manmadhan</t>
  </si>
  <si>
    <t>MAL001</t>
  </si>
  <si>
    <t>Welcome to Hyderabad</t>
  </si>
  <si>
    <t>Vishnu Vijay, Suhail Koya, Kapil Kapilan, Shakthisree Gopalan</t>
  </si>
  <si>
    <t>Premalu</t>
  </si>
  <si>
    <t>Malayalam</t>
  </si>
  <si>
    <t>MAL002</t>
  </si>
  <si>
    <t>Mini Maharani</t>
  </si>
  <si>
    <t>Vishnu Vijay, Suhail Koya, Kapil Kapilan, Vagu Mazan</t>
  </si>
  <si>
    <t>MAL003</t>
  </si>
  <si>
    <t>Kutty Kudiye</t>
  </si>
  <si>
    <t>Vishnu Vijay, Suhail Koya, Sanjith Hegde</t>
  </si>
  <si>
    <t>10m</t>
  </si>
  <si>
    <t>MAL004</t>
  </si>
  <si>
    <t>Telangana Bommalu</t>
  </si>
  <si>
    <t>Vishnu Vijay, Suhail Koya, K.G. Markose</t>
  </si>
  <si>
    <t>Fun/Youth</t>
  </si>
  <si>
    <t>9.2m</t>
  </si>
  <si>
    <t>MAL005</t>
  </si>
  <si>
    <t>Illuminati</t>
  </si>
  <si>
    <t>Sushin Shyam, Dabzee, Vinayak Sasikumar</t>
  </si>
  <si>
    <t>Aavesham</t>
  </si>
  <si>
    <t>408m</t>
  </si>
  <si>
    <t>MAL006</t>
  </si>
  <si>
    <t>Galatta</t>
  </si>
  <si>
    <t>Sushin Shyam, Paal Dabba, Vinayak Sasikumar</t>
  </si>
  <si>
    <t>Party, Mass</t>
  </si>
  <si>
    <t>MAL007</t>
  </si>
  <si>
    <t>Adholokam</t>
  </si>
  <si>
    <t>Sushin Shyam, Vipin Raveendran, Vinayak Sasikumar</t>
  </si>
  <si>
    <t>1.1m</t>
  </si>
  <si>
    <t>MAL008</t>
  </si>
  <si>
    <t>Odimaga</t>
  </si>
  <si>
    <t>Sushin Shyam, Nazriya Nazim, Vinayak Sasikumar</t>
  </si>
  <si>
    <t>MAL009</t>
  </si>
  <si>
    <t>Armadham</t>
  </si>
  <si>
    <t>Sushin Shyam, Pranavam Sasi, Vinayak Sasikumar</t>
  </si>
  <si>
    <t>116m</t>
  </si>
  <si>
    <t>MAL010</t>
  </si>
  <si>
    <t>Kiliye Kiliye - Afrobeat Mix</t>
  </si>
  <si>
    <t>The Independers, S. Janaki, Ilaiyaraaja</t>
  </si>
  <si>
    <t>Lokah Chapter 1: Chandra</t>
  </si>
  <si>
    <t>Dance, Party</t>
  </si>
  <si>
    <t>43m</t>
  </si>
  <si>
    <t>MAL011</t>
  </si>
  <si>
    <t>Kadavule Pole</t>
  </si>
  <si>
    <t>Karthik, Bharadwaj</t>
  </si>
  <si>
    <t>Lucifer</t>
  </si>
  <si>
    <t>9.1m</t>
  </si>
  <si>
    <t>MAL012</t>
  </si>
  <si>
    <t>Empuraane</t>
  </si>
  <si>
    <t>Usha Uthup</t>
  </si>
  <si>
    <t>Theme</t>
  </si>
  <si>
    <t>5.7m</t>
  </si>
  <si>
    <t>MAL013</t>
  </si>
  <si>
    <t>Adakachakko</t>
  </si>
  <si>
    <t>Jakes Bejoy, Biju Menon, Prithviraj Sukumaran, Biju Menon, Hari Nayayanan B.K.</t>
  </si>
  <si>
    <t>AK - Ayyappannum Koshiyum</t>
  </si>
  <si>
    <t>11m</t>
  </si>
  <si>
    <t>MAL014</t>
  </si>
  <si>
    <t>Kalakkatha (Title Song)</t>
  </si>
  <si>
    <t>Jakes Bejoy, Nanjiyamma</t>
  </si>
  <si>
    <t>MAL015</t>
  </si>
  <si>
    <t>Ariyathariyathe</t>
  </si>
  <si>
    <t>Jakes Bejoy, Kottakkal Madhu</t>
  </si>
  <si>
    <t>MAL016</t>
  </si>
  <si>
    <t>Minnalvala</t>
  </si>
  <si>
    <t>Jakes Bejoy, Sid Sriram, Sithara Krishnakumar</t>
  </si>
  <si>
    <t>Narivetta</t>
  </si>
  <si>
    <t>146m</t>
  </si>
  <si>
    <t>MAL017</t>
  </si>
  <si>
    <t>Kannil Pettole</t>
  </si>
  <si>
    <t>Vishnu Vijay, Irfana Hameed, Mu.Ri</t>
  </si>
  <si>
    <t>Thallumaala</t>
  </si>
  <si>
    <t>MAL018</t>
  </si>
  <si>
    <t>Ole Melody</t>
  </si>
  <si>
    <t>Vishnu Vijay, Haricharan Seshadri, Benny Dayal, Salim Kumar, Mu.Ri</t>
  </si>
  <si>
    <t>25m</t>
  </si>
  <si>
    <t>MAL019</t>
  </si>
  <si>
    <t>Thallumaala Paattu</t>
  </si>
  <si>
    <t>Vishnu Vijay, Hrithik Jayakish, Neha Girish, Eshaan Sanil, Thejas Krishna</t>
  </si>
  <si>
    <t>Traditional</t>
  </si>
  <si>
    <t>MAL020</t>
  </si>
  <si>
    <t>Ndaakkippattu</t>
  </si>
  <si>
    <t>Vishnu Vijay, Muhsin Parari, Shenbagaraj, Santhosh Hariharan, Sreeraj, Swathi Das, Austin Dan, Lukman Avaran, Adri Joe, Gokulan, Binu Pappu, Mu.Ri</t>
  </si>
  <si>
    <t>8.7m</t>
  </si>
  <si>
    <t>MAL021</t>
  </si>
  <si>
    <t>Manavaalan Thug</t>
  </si>
  <si>
    <t>Dabzee, SA, MHR</t>
  </si>
  <si>
    <t>124m</t>
  </si>
  <si>
    <t>MAL022</t>
  </si>
  <si>
    <t>Tupathu</t>
  </si>
  <si>
    <t>Vishnu Vijay, Shakthisree Gopalan, Tovino Thomas</t>
  </si>
  <si>
    <t>Romantic - Pop</t>
  </si>
  <si>
    <t>MAL023</t>
  </si>
  <si>
    <t>Chakkarachundil</t>
  </si>
  <si>
    <t>Vishnu Vijay, Tovino Thomas, Mu.Ri</t>
  </si>
  <si>
    <t>MAL024</t>
  </si>
  <si>
    <t>Manasakamil - Manavalan Unleashed</t>
  </si>
  <si>
    <t>Vishnu Vijay, Meera Prakash, Sinduri, Gayathry Rajiv</t>
  </si>
  <si>
    <t>5.6m</t>
  </si>
  <si>
    <t>MAL025</t>
  </si>
  <si>
    <t>Thoottikkanoda Patha</t>
  </si>
  <si>
    <t>Vishnu Vijay, Khalid Rahman</t>
  </si>
  <si>
    <t>165k</t>
  </si>
  <si>
    <t>ID</t>
  </si>
  <si>
    <t>Song Name</t>
  </si>
  <si>
    <t>Artist Name</t>
  </si>
  <si>
    <t>Album Name</t>
  </si>
  <si>
    <t>Release Year</t>
  </si>
  <si>
    <t>Language</t>
  </si>
  <si>
    <t>Genre</t>
  </si>
  <si>
    <t>Views (YouTube)</t>
  </si>
  <si>
    <t>Performance category</t>
  </si>
  <si>
    <t>Revenue Categor</t>
  </si>
  <si>
    <t>Music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</si>
</sst>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3" fontId="0" fillId="2" borderId="2" xfId="0" applyNumberFormat="1" applyFill="1" applyBorder="1"/>
    <xf numFmtId="3" fontId="0" fillId="2" borderId="3" xfId="0" applyNumberFormat="1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3" fontId="0" fillId="0" borderId="2" xfId="0" applyNumberFormat="1" applyBorder="1"/>
    <xf numFmtId="3" fontId="0" fillId="0" borderId="3" xfId="0" applyNumberForma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W\DA\music-datan\music-metadata-da.xlsx" TargetMode="External"/><Relationship Id="rId1" Type="http://schemas.openxmlformats.org/officeDocument/2006/relationships/externalLinkPath" Target="music-datan/music-metadata-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7"/>
      <sheetName val="Sheet1"/>
      <sheetName val="Sheet14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A2F42-FCEB-4647-9523-6E6AE0666E2C}">
  <dimension ref="A1:J177"/>
  <sheetViews>
    <sheetView tabSelected="1" workbookViewId="0">
      <selection activeCell="N9" sqref="N9"/>
    </sheetView>
  </sheetViews>
  <sheetFormatPr defaultRowHeight="14.4" x14ac:dyDescent="0.3"/>
  <sheetData>
    <row r="1" spans="1:10" ht="21" x14ac:dyDescent="0.4">
      <c r="E1" s="14" t="s">
        <v>785</v>
      </c>
    </row>
    <row r="2" spans="1:10" x14ac:dyDescent="0.3">
      <c r="A2" s="11" t="s">
        <v>775</v>
      </c>
      <c r="B2" s="12" t="s">
        <v>776</v>
      </c>
      <c r="C2" s="12" t="s">
        <v>777</v>
      </c>
      <c r="D2" s="12" t="s">
        <v>778</v>
      </c>
      <c r="E2" s="12" t="s">
        <v>779</v>
      </c>
      <c r="F2" s="12" t="s">
        <v>780</v>
      </c>
      <c r="G2" s="12" t="s">
        <v>781</v>
      </c>
      <c r="H2" s="12" t="s">
        <v>782</v>
      </c>
      <c r="I2" s="12" t="s">
        <v>783</v>
      </c>
      <c r="J2" s="13" t="s">
        <v>784</v>
      </c>
    </row>
    <row r="3" spans="1:10" ht="28.8" x14ac:dyDescent="0.3">
      <c r="A3" s="1" t="s">
        <v>0</v>
      </c>
      <c r="B3" s="2" t="s">
        <v>1</v>
      </c>
      <c r="C3" s="3" t="s">
        <v>2</v>
      </c>
      <c r="D3" s="2" t="s">
        <v>3</v>
      </c>
      <c r="E3" s="2">
        <v>2014</v>
      </c>
      <c r="F3" s="2" t="s">
        <v>4</v>
      </c>
      <c r="G3" s="2" t="s">
        <v>5</v>
      </c>
      <c r="H3" s="4" t="s">
        <v>6</v>
      </c>
      <c r="I3" s="4" t="str">
        <f>IF([1]!musicmd[[#This Row],[Views (YouTube)]]&gt;50000000,"Hit",IF([1]!musicmd[[#This Row],[Views (YouTube)]]&gt;10000000,"Average","Low"))</f>
        <v>Hit</v>
      </c>
      <c r="J3" s="5" t="str">
        <f>IF([1]!musicmd[[#This Row],[Views (YouTube)]]&gt;50000000,"High",IF([1]!musicmd[[#This Row],[Views (YouTube)]]&gt;10000000,"Medium","Low"))</f>
        <v>High</v>
      </c>
    </row>
    <row r="4" spans="1:10" ht="57.6" x14ac:dyDescent="0.3">
      <c r="A4" s="6" t="s">
        <v>7</v>
      </c>
      <c r="B4" s="7" t="s">
        <v>8</v>
      </c>
      <c r="C4" s="8" t="s">
        <v>9</v>
      </c>
      <c r="D4" s="7" t="s">
        <v>3</v>
      </c>
      <c r="E4" s="7">
        <v>2014</v>
      </c>
      <c r="F4" s="7" t="s">
        <v>4</v>
      </c>
      <c r="G4" s="7" t="s">
        <v>10</v>
      </c>
      <c r="H4" s="9" t="s">
        <v>11</v>
      </c>
      <c r="I4" s="9" t="str">
        <f>IF([1]!musicmd[[#This Row],[Views (YouTube)]]&gt;50000000,"Hit",IF([1]!musicmd[[#This Row],[Views (YouTube)]]&gt;10000000,"Average","Low"))</f>
        <v>Hit</v>
      </c>
      <c r="J4" s="10" t="str">
        <f>IF([1]!musicmd[[#This Row],[Views (YouTube)]]&gt;50000000,"High",IF([1]!musicmd[[#This Row],[Views (YouTube)]]&gt;10000000,"Medium","Low"))</f>
        <v>High</v>
      </c>
    </row>
    <row r="5" spans="1:10" x14ac:dyDescent="0.3">
      <c r="A5" s="1" t="s">
        <v>12</v>
      </c>
      <c r="B5" s="2" t="s">
        <v>13</v>
      </c>
      <c r="C5" s="2" t="s">
        <v>14</v>
      </c>
      <c r="D5" s="2" t="s">
        <v>3</v>
      </c>
      <c r="E5" s="2">
        <v>2014</v>
      </c>
      <c r="F5" s="2" t="s">
        <v>4</v>
      </c>
      <c r="G5" s="2" t="s">
        <v>15</v>
      </c>
      <c r="H5" s="4" t="s">
        <v>16</v>
      </c>
      <c r="I5" s="4" t="str">
        <f>IF([1]!musicmd[[#This Row],[Views (YouTube)]]&gt;50000000,"Hit",IF([1]!musicmd[[#This Row],[Views (YouTube)]]&gt;10000000,"Average","Low"))</f>
        <v>Hit</v>
      </c>
      <c r="J5" s="5" t="str">
        <f>IF([1]!musicmd[[#This Row],[Views (YouTube)]]&gt;50000000,"High",IF([1]!musicmd[[#This Row],[Views (YouTube)]]&gt;10000000,"Medium","Low"))</f>
        <v>High</v>
      </c>
    </row>
    <row r="6" spans="1:10" x14ac:dyDescent="0.3">
      <c r="A6" s="6" t="s">
        <v>17</v>
      </c>
      <c r="B6" s="7" t="s">
        <v>18</v>
      </c>
      <c r="C6" s="7" t="s">
        <v>19</v>
      </c>
      <c r="D6" s="7" t="s">
        <v>20</v>
      </c>
      <c r="E6" s="7">
        <v>2011</v>
      </c>
      <c r="F6" s="7" t="s">
        <v>4</v>
      </c>
      <c r="G6" s="7" t="s">
        <v>21</v>
      </c>
      <c r="H6" s="9" t="s">
        <v>22</v>
      </c>
      <c r="I6" s="9" t="str">
        <f>IF([1]!musicmd[[#This Row],[Views (YouTube)]]&gt;50000000,"Hit",IF([1]!musicmd[[#This Row],[Views (YouTube)]]&gt;10000000,"Average","Low"))</f>
        <v>Hit</v>
      </c>
      <c r="J6" s="10" t="str">
        <f>IF([1]!musicmd[[#This Row],[Views (YouTube)]]&gt;50000000,"High",IF([1]!musicmd[[#This Row],[Views (YouTube)]]&gt;10000000,"Medium","Low"))</f>
        <v>High</v>
      </c>
    </row>
    <row r="7" spans="1:10" x14ac:dyDescent="0.3">
      <c r="A7" s="1" t="s">
        <v>23</v>
      </c>
      <c r="B7" s="2" t="s">
        <v>24</v>
      </c>
      <c r="C7" s="2" t="s">
        <v>25</v>
      </c>
      <c r="D7" s="2" t="s">
        <v>20</v>
      </c>
      <c r="E7" s="2">
        <v>2011</v>
      </c>
      <c r="F7" s="2" t="s">
        <v>4</v>
      </c>
      <c r="G7" s="2" t="s">
        <v>10</v>
      </c>
      <c r="H7" s="4" t="s">
        <v>26</v>
      </c>
      <c r="I7" s="4" t="str">
        <f>IF([1]!musicmd[[#This Row],[Views (YouTube)]]&gt;50000000,"Hit",IF([1]!musicmd[[#This Row],[Views (YouTube)]]&gt;10000000,"Average","Low"))</f>
        <v>Hit</v>
      </c>
      <c r="J7" s="5" t="str">
        <f>IF([1]!musicmd[[#This Row],[Views (YouTube)]]&gt;50000000,"High",IF([1]!musicmd[[#This Row],[Views (YouTube)]]&gt;10000000,"Medium","Low"))</f>
        <v>High</v>
      </c>
    </row>
    <row r="8" spans="1:10" x14ac:dyDescent="0.3">
      <c r="A8" s="6" t="s">
        <v>27</v>
      </c>
      <c r="B8" s="7" t="s">
        <v>28</v>
      </c>
      <c r="C8" s="7" t="s">
        <v>29</v>
      </c>
      <c r="D8" s="7" t="s">
        <v>20</v>
      </c>
      <c r="E8" s="7">
        <v>2011</v>
      </c>
      <c r="F8" s="7" t="s">
        <v>4</v>
      </c>
      <c r="G8" s="7" t="s">
        <v>30</v>
      </c>
      <c r="H8" s="9" t="s">
        <v>31</v>
      </c>
      <c r="I8" s="9" t="str">
        <f>IF([1]!musicmd[[#This Row],[Views (YouTube)]]&gt;50000000,"Hit",IF([1]!musicmd[[#This Row],[Views (YouTube)]]&gt;10000000,"Average","Low"))</f>
        <v>Hit</v>
      </c>
      <c r="J8" s="10" t="str">
        <f>IF([1]!musicmd[[#This Row],[Views (YouTube)]]&gt;50000000,"High",IF([1]!musicmd[[#This Row],[Views (YouTube)]]&gt;10000000,"Medium","Low"))</f>
        <v>High</v>
      </c>
    </row>
    <row r="9" spans="1:10" ht="86.4" x14ac:dyDescent="0.3">
      <c r="A9" s="1" t="s">
        <v>32</v>
      </c>
      <c r="B9" s="3" t="s">
        <v>33</v>
      </c>
      <c r="C9" s="2" t="s">
        <v>34</v>
      </c>
      <c r="D9" s="2">
        <v>3</v>
      </c>
      <c r="E9" s="2">
        <v>2012</v>
      </c>
      <c r="F9" s="2" t="s">
        <v>4</v>
      </c>
      <c r="G9" s="2" t="s">
        <v>10</v>
      </c>
      <c r="H9" s="4" t="s">
        <v>35</v>
      </c>
      <c r="I9" s="4" t="str">
        <f>IF([1]!musicmd[[#This Row],[Views (YouTube)]]&gt;50000000,"Hit",IF([1]!musicmd[[#This Row],[Views (YouTube)]]&gt;10000000,"Average","Low"))</f>
        <v>Hit</v>
      </c>
      <c r="J9" s="5" t="str">
        <f>IF([1]!musicmd[[#This Row],[Views (YouTube)]]&gt;50000000,"High",IF([1]!musicmd[[#This Row],[Views (YouTube)]]&gt;10000000,"Medium","Low"))</f>
        <v>High</v>
      </c>
    </row>
    <row r="10" spans="1:10" ht="43.2" x14ac:dyDescent="0.3">
      <c r="A10" s="6" t="s">
        <v>36</v>
      </c>
      <c r="B10" s="7" t="s">
        <v>37</v>
      </c>
      <c r="C10" s="8" t="s">
        <v>38</v>
      </c>
      <c r="D10" s="7">
        <v>3</v>
      </c>
      <c r="E10" s="7">
        <v>2012</v>
      </c>
      <c r="F10" s="7" t="s">
        <v>4</v>
      </c>
      <c r="G10" s="7" t="s">
        <v>5</v>
      </c>
      <c r="H10" s="9" t="s">
        <v>39</v>
      </c>
      <c r="I10" s="9" t="str">
        <f>IF([1]!musicmd[[#This Row],[Views (YouTube)]]&gt;50000000,"Hit",IF([1]!musicmd[[#This Row],[Views (YouTube)]]&gt;10000000,"Average","Low"))</f>
        <v>Hit</v>
      </c>
      <c r="J10" s="10" t="str">
        <f>IF([1]!musicmd[[#This Row],[Views (YouTube)]]&gt;50000000,"High",IF([1]!musicmd[[#This Row],[Views (YouTube)]]&gt;10000000,"Medium","Low"))</f>
        <v>High</v>
      </c>
    </row>
    <row r="11" spans="1:10" x14ac:dyDescent="0.3">
      <c r="A11" s="1" t="s">
        <v>40</v>
      </c>
      <c r="B11" s="2" t="s">
        <v>41</v>
      </c>
      <c r="C11" s="2" t="s">
        <v>42</v>
      </c>
      <c r="D11" s="2">
        <v>3</v>
      </c>
      <c r="E11" s="2">
        <v>2012</v>
      </c>
      <c r="F11" s="2" t="s">
        <v>4</v>
      </c>
      <c r="G11" s="2" t="s">
        <v>43</v>
      </c>
      <c r="H11" s="4" t="s">
        <v>39</v>
      </c>
      <c r="I11" s="4" t="str">
        <f>IF([1]!musicmd[[#This Row],[Views (YouTube)]]&gt;50000000,"Hit",IF([1]!musicmd[[#This Row],[Views (YouTube)]]&gt;10000000,"Average","Low"))</f>
        <v>Hit</v>
      </c>
      <c r="J11" s="5" t="str">
        <f>IF([1]!musicmd[[#This Row],[Views (YouTube)]]&gt;50000000,"High",IF([1]!musicmd[[#This Row],[Views (YouTube)]]&gt;10000000,"Medium","Low"))</f>
        <v>High</v>
      </c>
    </row>
    <row r="12" spans="1:10" ht="28.8" x14ac:dyDescent="0.3">
      <c r="A12" s="6" t="s">
        <v>44</v>
      </c>
      <c r="B12" s="7" t="s">
        <v>45</v>
      </c>
      <c r="C12" s="8" t="s">
        <v>46</v>
      </c>
      <c r="D12" s="7" t="s">
        <v>47</v>
      </c>
      <c r="E12" s="7">
        <v>2021</v>
      </c>
      <c r="F12" s="7" t="s">
        <v>4</v>
      </c>
      <c r="G12" s="7" t="s">
        <v>48</v>
      </c>
      <c r="H12" s="9" t="s">
        <v>49</v>
      </c>
      <c r="I12" s="9" t="str">
        <f>IF([1]!musicmd[[#This Row],[Views (YouTube)]]&gt;50000000,"Hit",IF([1]!musicmd[[#This Row],[Views (YouTube)]]&gt;10000000,"Average","Low"))</f>
        <v>Hit</v>
      </c>
      <c r="J12" s="10" t="str">
        <f>IF([1]!musicmd[[#This Row],[Views (YouTube)]]&gt;50000000,"High",IF([1]!musicmd[[#This Row],[Views (YouTube)]]&gt;10000000,"Medium","Low"))</f>
        <v>High</v>
      </c>
    </row>
    <row r="13" spans="1:10" ht="28.8" x14ac:dyDescent="0.3">
      <c r="A13" s="1" t="s">
        <v>50</v>
      </c>
      <c r="B13" s="2" t="s">
        <v>51</v>
      </c>
      <c r="C13" s="3" t="s">
        <v>52</v>
      </c>
      <c r="D13" s="2" t="s">
        <v>47</v>
      </c>
      <c r="E13" s="2">
        <v>2021</v>
      </c>
      <c r="F13" s="2" t="s">
        <v>4</v>
      </c>
      <c r="G13" s="2" t="s">
        <v>53</v>
      </c>
      <c r="H13" s="4" t="s">
        <v>54</v>
      </c>
      <c r="I13" s="4" t="str">
        <f>IF([1]!musicmd[[#This Row],[Views (YouTube)]]&gt;50000000,"Hit",IF([1]!musicmd[[#This Row],[Views (YouTube)]]&gt;10000000,"Average","Low"))</f>
        <v>Hit</v>
      </c>
      <c r="J13" s="5" t="str">
        <f>IF([1]!musicmd[[#This Row],[Views (YouTube)]]&gt;50000000,"High",IF([1]!musicmd[[#This Row],[Views (YouTube)]]&gt;10000000,"Medium","Low"))</f>
        <v>High</v>
      </c>
    </row>
    <row r="14" spans="1:10" x14ac:dyDescent="0.3">
      <c r="A14" s="6" t="s">
        <v>55</v>
      </c>
      <c r="B14" s="7" t="s">
        <v>56</v>
      </c>
      <c r="C14" s="7" t="s">
        <v>57</v>
      </c>
      <c r="D14" s="7" t="s">
        <v>47</v>
      </c>
      <c r="E14" s="7">
        <v>2021</v>
      </c>
      <c r="F14" s="7" t="s">
        <v>4</v>
      </c>
      <c r="G14" s="7" t="s">
        <v>58</v>
      </c>
      <c r="H14" s="7" t="s">
        <v>59</v>
      </c>
      <c r="I14" s="9" t="str">
        <f>IF([1]!musicmd[[#This Row],[Views (YouTube)]]&gt;50000000,"Hit",IF([1]!musicmd[[#This Row],[Views (YouTube)]]&gt;10000000,"Average","Low"))</f>
        <v>Hit</v>
      </c>
      <c r="J14" s="10" t="str">
        <f>IF([1]!musicmd[[#This Row],[Views (YouTube)]]&gt;50000000,"High",IF([1]!musicmd[[#This Row],[Views (YouTube)]]&gt;10000000,"Medium","Low"))</f>
        <v>High</v>
      </c>
    </row>
    <row r="15" spans="1:10" x14ac:dyDescent="0.3">
      <c r="A15" s="1" t="s">
        <v>60</v>
      </c>
      <c r="B15" s="2" t="s">
        <v>61</v>
      </c>
      <c r="C15" s="2" t="s">
        <v>62</v>
      </c>
      <c r="D15" s="2" t="s">
        <v>47</v>
      </c>
      <c r="E15" s="2">
        <v>2021</v>
      </c>
      <c r="F15" s="2" t="s">
        <v>4</v>
      </c>
      <c r="G15" s="2" t="s">
        <v>10</v>
      </c>
      <c r="H15" s="2" t="s">
        <v>63</v>
      </c>
      <c r="I15" s="4" t="str">
        <f>IF([1]!musicmd[[#This Row],[Views (YouTube)]]&gt;50000000,"Hit",IF([1]!musicmd[[#This Row],[Views (YouTube)]]&gt;10000000,"Average","Low"))</f>
        <v>Hit</v>
      </c>
      <c r="J15" s="5" t="str">
        <f>IF([1]!musicmd[[#This Row],[Views (YouTube)]]&gt;50000000,"High",IF([1]!musicmd[[#This Row],[Views (YouTube)]]&gt;10000000,"Medium","Low"))</f>
        <v>High</v>
      </c>
    </row>
    <row r="16" spans="1:10" x14ac:dyDescent="0.3">
      <c r="A16" s="6" t="s">
        <v>64</v>
      </c>
      <c r="B16" s="7" t="s">
        <v>65</v>
      </c>
      <c r="C16" s="7" t="s">
        <v>66</v>
      </c>
      <c r="D16" s="7">
        <v>3</v>
      </c>
      <c r="E16" s="7">
        <v>2012</v>
      </c>
      <c r="F16" s="7" t="s">
        <v>4</v>
      </c>
      <c r="G16" s="7" t="s">
        <v>58</v>
      </c>
      <c r="H16" s="7" t="s">
        <v>67</v>
      </c>
      <c r="I16" s="9" t="str">
        <f>IF([1]!musicmd[[#This Row],[Views (YouTube)]]&gt;50000000,"Hit",IF([1]!musicmd[[#This Row],[Views (YouTube)]]&gt;10000000,"Average","Low"))</f>
        <v>Hit</v>
      </c>
      <c r="J16" s="10" t="str">
        <f>IF([1]!musicmd[[#This Row],[Views (YouTube)]]&gt;50000000,"High",IF([1]!musicmd[[#This Row],[Views (YouTube)]]&gt;10000000,"Medium","Low"))</f>
        <v>High</v>
      </c>
    </row>
    <row r="17" spans="1:10" x14ac:dyDescent="0.3">
      <c r="A17" s="1" t="s">
        <v>68</v>
      </c>
      <c r="B17" s="2" t="s">
        <v>69</v>
      </c>
      <c r="C17" s="2" t="s">
        <v>70</v>
      </c>
      <c r="D17" s="2" t="s">
        <v>71</v>
      </c>
      <c r="E17" s="2">
        <v>2011</v>
      </c>
      <c r="F17" s="2" t="s">
        <v>4</v>
      </c>
      <c r="G17" s="2" t="s">
        <v>72</v>
      </c>
      <c r="H17" s="2" t="s">
        <v>73</v>
      </c>
      <c r="I17" s="4" t="str">
        <f>IF([1]!musicmd[[#This Row],[Views (YouTube)]]&gt;50000000,"Hit",IF([1]!musicmd[[#This Row],[Views (YouTube)]]&gt;10000000,"Average","Low"))</f>
        <v>Hit</v>
      </c>
      <c r="J17" s="5" t="str">
        <f>IF([1]!musicmd[[#This Row],[Views (YouTube)]]&gt;50000000,"High",IF([1]!musicmd[[#This Row],[Views (YouTube)]]&gt;10000000,"Medium","Low"))</f>
        <v>High</v>
      </c>
    </row>
    <row r="18" spans="1:10" ht="115.2" x14ac:dyDescent="0.3">
      <c r="A18" s="6" t="s">
        <v>74</v>
      </c>
      <c r="B18" s="7" t="s">
        <v>75</v>
      </c>
      <c r="C18" s="8" t="s">
        <v>76</v>
      </c>
      <c r="D18" s="7" t="s">
        <v>71</v>
      </c>
      <c r="E18" s="7">
        <v>2011</v>
      </c>
      <c r="F18" s="7" t="s">
        <v>4</v>
      </c>
      <c r="G18" s="7" t="s">
        <v>77</v>
      </c>
      <c r="H18" s="7" t="s">
        <v>78</v>
      </c>
      <c r="I18" s="9" t="str">
        <f>IF([1]!musicmd[[#This Row],[Views (YouTube)]]&gt;50000000,"Hit",IF([1]!musicmd[[#This Row],[Views (YouTube)]]&gt;10000000,"Average","Low"))</f>
        <v>Hit</v>
      </c>
      <c r="J18" s="10" t="str">
        <f>IF([1]!musicmd[[#This Row],[Views (YouTube)]]&gt;50000000,"High",IF([1]!musicmd[[#This Row],[Views (YouTube)]]&gt;10000000,"Medium","Low"))</f>
        <v>High</v>
      </c>
    </row>
    <row r="19" spans="1:10" x14ac:dyDescent="0.3">
      <c r="A19" s="1" t="s">
        <v>79</v>
      </c>
      <c r="B19" s="2" t="s">
        <v>80</v>
      </c>
      <c r="C19" s="2" t="s">
        <v>81</v>
      </c>
      <c r="D19" s="2" t="s">
        <v>71</v>
      </c>
      <c r="E19" s="2">
        <v>2011</v>
      </c>
      <c r="F19" s="2" t="s">
        <v>4</v>
      </c>
      <c r="G19" s="2" t="s">
        <v>43</v>
      </c>
      <c r="H19" s="2" t="s">
        <v>82</v>
      </c>
      <c r="I19" s="4" t="str">
        <f>IF([1]!musicmd[[#This Row],[Views (YouTube)]]&gt;50000000,"Hit",IF([1]!musicmd[[#This Row],[Views (YouTube)]]&gt;10000000,"Average","Low"))</f>
        <v>Hit</v>
      </c>
      <c r="J19" s="5" t="str">
        <f>IF([1]!musicmd[[#This Row],[Views (YouTube)]]&gt;50000000,"High",IF([1]!musicmd[[#This Row],[Views (YouTube)]]&gt;10000000,"Medium","Low"))</f>
        <v>High</v>
      </c>
    </row>
    <row r="20" spans="1:10" ht="86.4" x14ac:dyDescent="0.3">
      <c r="A20" s="6" t="s">
        <v>83</v>
      </c>
      <c r="B20" s="8" t="s">
        <v>84</v>
      </c>
      <c r="C20" s="8" t="s">
        <v>85</v>
      </c>
      <c r="D20" s="7">
        <v>3</v>
      </c>
      <c r="E20" s="7">
        <v>2012</v>
      </c>
      <c r="F20" s="7" t="s">
        <v>4</v>
      </c>
      <c r="G20" s="7" t="s">
        <v>43</v>
      </c>
      <c r="H20" s="7" t="s">
        <v>86</v>
      </c>
      <c r="I20" s="9" t="str">
        <f>IF([1]!musicmd[[#This Row],[Views (YouTube)]]&gt;50000000,"Hit",IF([1]!musicmd[[#This Row],[Views (YouTube)]]&gt;10000000,"Average","Low"))</f>
        <v>Hit</v>
      </c>
      <c r="J20" s="10" t="str">
        <f>IF([1]!musicmd[[#This Row],[Views (YouTube)]]&gt;50000000,"High",IF([1]!musicmd[[#This Row],[Views (YouTube)]]&gt;10000000,"Medium","Low"))</f>
        <v>High</v>
      </c>
    </row>
    <row r="21" spans="1:10" ht="115.2" x14ac:dyDescent="0.3">
      <c r="A21" s="1" t="s">
        <v>87</v>
      </c>
      <c r="B21" s="2" t="s">
        <v>88</v>
      </c>
      <c r="C21" s="3" t="s">
        <v>89</v>
      </c>
      <c r="D21" s="2" t="s">
        <v>90</v>
      </c>
      <c r="E21" s="2">
        <v>2004</v>
      </c>
      <c r="F21" s="2" t="s">
        <v>4</v>
      </c>
      <c r="G21" s="2" t="s">
        <v>43</v>
      </c>
      <c r="H21" s="2" t="s">
        <v>91</v>
      </c>
      <c r="I21" s="4" t="str">
        <f>IF([1]!musicmd[[#This Row],[Views (YouTube)]]&gt;50000000,"Hit",IF([1]!musicmd[[#This Row],[Views (YouTube)]]&gt;10000000,"Average","Low"))</f>
        <v>Hit</v>
      </c>
      <c r="J21" s="5" t="str">
        <f>IF([1]!musicmd[[#This Row],[Views (YouTube)]]&gt;50000000,"High",IF([1]!musicmd[[#This Row],[Views (YouTube)]]&gt;10000000,"Medium","Low"))</f>
        <v>High</v>
      </c>
    </row>
    <row r="22" spans="1:10" x14ac:dyDescent="0.3">
      <c r="A22" s="6" t="s">
        <v>92</v>
      </c>
      <c r="B22" s="7" t="s">
        <v>93</v>
      </c>
      <c r="C22" s="8" t="s">
        <v>94</v>
      </c>
      <c r="D22" s="7" t="s">
        <v>90</v>
      </c>
      <c r="E22" s="7">
        <v>2004</v>
      </c>
      <c r="F22" s="7" t="s">
        <v>4</v>
      </c>
      <c r="G22" s="7" t="s">
        <v>43</v>
      </c>
      <c r="H22" s="7" t="s">
        <v>95</v>
      </c>
      <c r="I22" s="9" t="str">
        <f>IF([1]!musicmd[[#This Row],[Views (YouTube)]]&gt;50000000,"Hit",IF([1]!musicmd[[#This Row],[Views (YouTube)]]&gt;10000000,"Average","Low"))</f>
        <v>Hit</v>
      </c>
      <c r="J22" s="10" t="str">
        <f>IF([1]!musicmd[[#This Row],[Views (YouTube)]]&gt;50000000,"High",IF([1]!musicmd[[#This Row],[Views (YouTube)]]&gt;10000000,"Medium","Low"))</f>
        <v>High</v>
      </c>
    </row>
    <row r="23" spans="1:10" ht="72" x14ac:dyDescent="0.3">
      <c r="A23" s="1" t="s">
        <v>96</v>
      </c>
      <c r="B23" s="2" t="s">
        <v>97</v>
      </c>
      <c r="C23" s="3" t="s">
        <v>98</v>
      </c>
      <c r="D23" s="2" t="s">
        <v>90</v>
      </c>
      <c r="E23" s="2">
        <v>2004</v>
      </c>
      <c r="F23" s="2" t="s">
        <v>4</v>
      </c>
      <c r="G23" s="2" t="s">
        <v>99</v>
      </c>
      <c r="H23" s="2" t="s">
        <v>100</v>
      </c>
      <c r="I23" s="4" t="str">
        <f>IF([1]!musicmd[[#This Row],[Views (YouTube)]]&gt;50000000,"Hit",IF([1]!musicmd[[#This Row],[Views (YouTube)]]&gt;10000000,"Average","Low"))</f>
        <v>Hit</v>
      </c>
      <c r="J23" s="5" t="str">
        <f>IF([1]!musicmd[[#This Row],[Views (YouTube)]]&gt;50000000,"High",IF([1]!musicmd[[#This Row],[Views (YouTube)]]&gt;10000000,"Medium","Low"))</f>
        <v>High</v>
      </c>
    </row>
    <row r="24" spans="1:10" x14ac:dyDescent="0.3">
      <c r="A24" s="6" t="s">
        <v>101</v>
      </c>
      <c r="B24" s="7" t="s">
        <v>102</v>
      </c>
      <c r="C24" s="7" t="s">
        <v>103</v>
      </c>
      <c r="D24" s="7" t="s">
        <v>90</v>
      </c>
      <c r="E24" s="7">
        <v>2004</v>
      </c>
      <c r="F24" s="7" t="s">
        <v>4</v>
      </c>
      <c r="G24" s="7" t="s">
        <v>43</v>
      </c>
      <c r="H24" s="7" t="s">
        <v>104</v>
      </c>
      <c r="I24" s="9" t="str">
        <f>IF([1]!musicmd[[#This Row],[Views (YouTube)]]&gt;50000000,"Hit",IF([1]!musicmd[[#This Row],[Views (YouTube)]]&gt;10000000,"Average","Low"))</f>
        <v>Hit</v>
      </c>
      <c r="J24" s="10" t="str">
        <f>IF([1]!musicmd[[#This Row],[Views (YouTube)]]&gt;50000000,"High",IF([1]!musicmd[[#This Row],[Views (YouTube)]]&gt;10000000,"Medium","Low"))</f>
        <v>High</v>
      </c>
    </row>
    <row r="25" spans="1:10" ht="57.6" x14ac:dyDescent="0.3">
      <c r="A25" s="1" t="s">
        <v>105</v>
      </c>
      <c r="B25" s="2" t="s">
        <v>106</v>
      </c>
      <c r="C25" s="3" t="s">
        <v>107</v>
      </c>
      <c r="D25" s="2" t="s">
        <v>108</v>
      </c>
      <c r="E25" s="2">
        <v>2025</v>
      </c>
      <c r="F25" s="2" t="s">
        <v>4</v>
      </c>
      <c r="G25" s="2" t="s">
        <v>109</v>
      </c>
      <c r="H25" s="2" t="s">
        <v>110</v>
      </c>
      <c r="I25" s="4" t="str">
        <f>IF([1]!musicmd[[#This Row],[Views (YouTube)]]&gt;50000000,"Hit",IF([1]!musicmd[[#This Row],[Views (YouTube)]]&gt;10000000,"Average","Low"))</f>
        <v>Hit</v>
      </c>
      <c r="J25" s="5" t="str">
        <f>IF([1]!musicmd[[#This Row],[Views (YouTube)]]&gt;50000000,"High",IF([1]!musicmd[[#This Row],[Views (YouTube)]]&gt;10000000,"Medium","Low"))</f>
        <v>High</v>
      </c>
    </row>
    <row r="26" spans="1:10" ht="28.8" x14ac:dyDescent="0.3">
      <c r="A26" s="6" t="s">
        <v>111</v>
      </c>
      <c r="B26" s="7" t="s">
        <v>112</v>
      </c>
      <c r="C26" s="8" t="s">
        <v>113</v>
      </c>
      <c r="D26" s="7" t="s">
        <v>114</v>
      </c>
      <c r="E26" s="7">
        <v>2021</v>
      </c>
      <c r="F26" s="7" t="s">
        <v>4</v>
      </c>
      <c r="G26" s="7" t="s">
        <v>115</v>
      </c>
      <c r="H26" s="7" t="s">
        <v>116</v>
      </c>
      <c r="I26" s="9" t="str">
        <f>IF([1]!musicmd[[#This Row],[Views (YouTube)]]&gt;50000000,"Hit",IF([1]!musicmd[[#This Row],[Views (YouTube)]]&gt;10000000,"Average","Low"))</f>
        <v>Hit</v>
      </c>
      <c r="J26" s="10" t="str">
        <f>IF([1]!musicmd[[#This Row],[Views (YouTube)]]&gt;50000000,"High",IF([1]!musicmd[[#This Row],[Views (YouTube)]]&gt;10000000,"Medium","Low"))</f>
        <v>High</v>
      </c>
    </row>
    <row r="27" spans="1:10" ht="57.6" x14ac:dyDescent="0.3">
      <c r="A27" s="1" t="s">
        <v>117</v>
      </c>
      <c r="B27" s="2" t="s">
        <v>118</v>
      </c>
      <c r="C27" s="3" t="s">
        <v>119</v>
      </c>
      <c r="D27" s="2" t="s">
        <v>114</v>
      </c>
      <c r="E27" s="2">
        <v>2021</v>
      </c>
      <c r="F27" s="2" t="s">
        <v>4</v>
      </c>
      <c r="G27" s="2" t="s">
        <v>58</v>
      </c>
      <c r="H27" s="2" t="s">
        <v>120</v>
      </c>
      <c r="I27" s="4" t="str">
        <f>IF([1]!musicmd[[#This Row],[Views (YouTube)]]&gt;50000000,"Hit",IF([1]!musicmd[[#This Row],[Views (YouTube)]]&gt;10000000,"Average","Low"))</f>
        <v>Hit</v>
      </c>
      <c r="J27" s="5" t="str">
        <f>IF([1]!musicmd[[#This Row],[Views (YouTube)]]&gt;50000000,"High",IF([1]!musicmd[[#This Row],[Views (YouTube)]]&gt;10000000,"Medium","Low"))</f>
        <v>High</v>
      </c>
    </row>
    <row r="28" spans="1:10" ht="57.6" x14ac:dyDescent="0.3">
      <c r="A28" s="6" t="s">
        <v>121</v>
      </c>
      <c r="B28" s="7" t="s">
        <v>122</v>
      </c>
      <c r="C28" s="8" t="s">
        <v>123</v>
      </c>
      <c r="D28" s="7" t="s">
        <v>124</v>
      </c>
      <c r="E28" s="7">
        <v>2013</v>
      </c>
      <c r="F28" s="7" t="s">
        <v>4</v>
      </c>
      <c r="G28" s="7" t="s">
        <v>10</v>
      </c>
      <c r="H28" s="7" t="s">
        <v>125</v>
      </c>
      <c r="I28" s="9" t="str">
        <f>IF([1]!musicmd[[#This Row],[Views (YouTube)]]&gt;50000000,"Hit",IF([1]!musicmd[[#This Row],[Views (YouTube)]]&gt;10000000,"Average","Low"))</f>
        <v>Hit</v>
      </c>
      <c r="J28" s="10" t="str">
        <f>IF([1]!musicmd[[#This Row],[Views (YouTube)]]&gt;50000000,"High",IF([1]!musicmd[[#This Row],[Views (YouTube)]]&gt;10000000,"Medium","Low"))</f>
        <v>High</v>
      </c>
    </row>
    <row r="29" spans="1:10" ht="43.2" x14ac:dyDescent="0.3">
      <c r="A29" s="1" t="s">
        <v>126</v>
      </c>
      <c r="B29" s="2" t="s">
        <v>127</v>
      </c>
      <c r="C29" s="3" t="s">
        <v>128</v>
      </c>
      <c r="D29" s="2" t="s">
        <v>129</v>
      </c>
      <c r="E29" s="2">
        <v>2014</v>
      </c>
      <c r="F29" s="2" t="s">
        <v>4</v>
      </c>
      <c r="G29" s="2" t="s">
        <v>58</v>
      </c>
      <c r="H29" s="2" t="s">
        <v>130</v>
      </c>
      <c r="I29" s="4" t="str">
        <f>IF([1]!musicmd[[#This Row],[Views (YouTube)]]&gt;50000000,"Hit",IF([1]!musicmd[[#This Row],[Views (YouTube)]]&gt;10000000,"Average","Low"))</f>
        <v>Hit</v>
      </c>
      <c r="J29" s="5" t="str">
        <f>IF([1]!musicmd[[#This Row],[Views (YouTube)]]&gt;50000000,"High",IF([1]!musicmd[[#This Row],[Views (YouTube)]]&gt;10000000,"Medium","Low"))</f>
        <v>High</v>
      </c>
    </row>
    <row r="30" spans="1:10" ht="57.6" x14ac:dyDescent="0.3">
      <c r="A30" s="6" t="s">
        <v>131</v>
      </c>
      <c r="B30" s="7" t="s">
        <v>132</v>
      </c>
      <c r="C30" s="8" t="s">
        <v>133</v>
      </c>
      <c r="D30" s="7" t="s">
        <v>129</v>
      </c>
      <c r="E30" s="7">
        <v>2014</v>
      </c>
      <c r="F30" s="7" t="s">
        <v>4</v>
      </c>
      <c r="G30" s="7" t="s">
        <v>48</v>
      </c>
      <c r="H30" s="7" t="s">
        <v>134</v>
      </c>
      <c r="I30" s="9" t="str">
        <f>IF([1]!musicmd[[#This Row],[Views (YouTube)]]&gt;50000000,"Hit",IF([1]!musicmd[[#This Row],[Views (YouTube)]]&gt;10000000,"Average","Low"))</f>
        <v>Hit</v>
      </c>
      <c r="J30" s="10" t="str">
        <f>IF([1]!musicmd[[#This Row],[Views (YouTube)]]&gt;50000000,"High",IF([1]!musicmd[[#This Row],[Views (YouTube)]]&gt;10000000,"Medium","Low"))</f>
        <v>High</v>
      </c>
    </row>
    <row r="31" spans="1:10" ht="43.2" x14ac:dyDescent="0.3">
      <c r="A31" s="1" t="s">
        <v>135</v>
      </c>
      <c r="B31" s="2" t="s">
        <v>136</v>
      </c>
      <c r="C31" s="3" t="s">
        <v>137</v>
      </c>
      <c r="D31" s="2" t="s">
        <v>138</v>
      </c>
      <c r="E31" s="2">
        <v>2007</v>
      </c>
      <c r="F31" s="2" t="s">
        <v>4</v>
      </c>
      <c r="G31" s="2" t="s">
        <v>10</v>
      </c>
      <c r="H31" s="2" t="s">
        <v>139</v>
      </c>
      <c r="I31" s="4" t="str">
        <f>IF([1]!musicmd[[#This Row],[Views (YouTube)]]&gt;50000000,"Hit",IF([1]!musicmd[[#This Row],[Views (YouTube)]]&gt;10000000,"Average","Low"))</f>
        <v>Hit</v>
      </c>
      <c r="J31" s="5" t="str">
        <f>IF([1]!musicmd[[#This Row],[Views (YouTube)]]&gt;50000000,"High",IF([1]!musicmd[[#This Row],[Views (YouTube)]]&gt;10000000,"Medium","Low"))</f>
        <v>High</v>
      </c>
    </row>
    <row r="32" spans="1:10" ht="72" x14ac:dyDescent="0.3">
      <c r="A32" s="6" t="s">
        <v>140</v>
      </c>
      <c r="B32" s="7" t="s">
        <v>141</v>
      </c>
      <c r="C32" s="8" t="s">
        <v>142</v>
      </c>
      <c r="D32" s="7" t="s">
        <v>138</v>
      </c>
      <c r="E32" s="7">
        <v>2007</v>
      </c>
      <c r="F32" s="7" t="s">
        <v>4</v>
      </c>
      <c r="G32" s="7" t="s">
        <v>143</v>
      </c>
      <c r="H32" s="7" t="s">
        <v>144</v>
      </c>
      <c r="I32" s="9" t="str">
        <f>IF([1]!musicmd[[#This Row],[Views (YouTube)]]&gt;50000000,"Hit",IF([1]!musicmd[[#This Row],[Views (YouTube)]]&gt;10000000,"Average","Low"))</f>
        <v>Hit</v>
      </c>
      <c r="J32" s="10" t="str">
        <f>IF([1]!musicmd[[#This Row],[Views (YouTube)]]&gt;50000000,"High",IF([1]!musicmd[[#This Row],[Views (YouTube)]]&gt;10000000,"Medium","Low"))</f>
        <v>High</v>
      </c>
    </row>
    <row r="33" spans="1:10" x14ac:dyDescent="0.3">
      <c r="A33" s="1" t="s">
        <v>145</v>
      </c>
      <c r="B33" s="2" t="s">
        <v>146</v>
      </c>
      <c r="C33" s="2" t="s">
        <v>147</v>
      </c>
      <c r="D33" s="2" t="s">
        <v>148</v>
      </c>
      <c r="E33" s="2">
        <v>2023</v>
      </c>
      <c r="F33" s="2" t="s">
        <v>4</v>
      </c>
      <c r="G33" s="2" t="s">
        <v>72</v>
      </c>
      <c r="H33" s="2" t="s">
        <v>149</v>
      </c>
      <c r="I33" s="4" t="str">
        <f>IF([1]!musicmd[[#This Row],[Views (YouTube)]]&gt;50000000,"Hit",IF([1]!musicmd[[#This Row],[Views (YouTube)]]&gt;10000000,"Average","Low"))</f>
        <v>Hit</v>
      </c>
      <c r="J33" s="5" t="str">
        <f>IF([1]!musicmd[[#This Row],[Views (YouTube)]]&gt;50000000,"High",IF([1]!musicmd[[#This Row],[Views (YouTube)]]&gt;10000000,"Medium","Low"))</f>
        <v>High</v>
      </c>
    </row>
    <row r="34" spans="1:10" x14ac:dyDescent="0.3">
      <c r="A34" s="6" t="s">
        <v>150</v>
      </c>
      <c r="B34" s="7" t="s">
        <v>151</v>
      </c>
      <c r="C34" s="7" t="s">
        <v>152</v>
      </c>
      <c r="D34" s="7" t="s">
        <v>153</v>
      </c>
      <c r="E34" s="7">
        <v>2015</v>
      </c>
      <c r="F34" s="7" t="s">
        <v>4</v>
      </c>
      <c r="G34" s="7" t="s">
        <v>72</v>
      </c>
      <c r="H34" s="7" t="s">
        <v>154</v>
      </c>
      <c r="I34" s="9" t="str">
        <f>IF([1]!musicmd[[#This Row],[Views (YouTube)]]&gt;50000000,"Hit",IF([1]!musicmd[[#This Row],[Views (YouTube)]]&gt;10000000,"Average","Low"))</f>
        <v>Hit</v>
      </c>
      <c r="J34" s="10" t="str">
        <f>IF([1]!musicmd[[#This Row],[Views (YouTube)]]&gt;50000000,"High",IF([1]!musicmd[[#This Row],[Views (YouTube)]]&gt;10000000,"Medium","Low"))</f>
        <v>High</v>
      </c>
    </row>
    <row r="35" spans="1:10" ht="86.4" x14ac:dyDescent="0.3">
      <c r="A35" s="1" t="s">
        <v>155</v>
      </c>
      <c r="B35" s="2" t="s">
        <v>156</v>
      </c>
      <c r="C35" s="3" t="s">
        <v>157</v>
      </c>
      <c r="D35" s="2" t="s">
        <v>153</v>
      </c>
      <c r="E35" s="2">
        <v>2015</v>
      </c>
      <c r="F35" s="2" t="s">
        <v>4</v>
      </c>
      <c r="G35" s="2" t="s">
        <v>109</v>
      </c>
      <c r="H35" s="2" t="s">
        <v>158</v>
      </c>
      <c r="I35" s="4" t="str">
        <f>IF([1]!musicmd[[#This Row],[Views (YouTube)]]&gt;50000000,"Hit",IF([1]!musicmd[[#This Row],[Views (YouTube)]]&gt;10000000,"Average","Low"))</f>
        <v>Hit</v>
      </c>
      <c r="J35" s="5" t="str">
        <f>IF([1]!musicmd[[#This Row],[Views (YouTube)]]&gt;50000000,"High",IF([1]!musicmd[[#This Row],[Views (YouTube)]]&gt;10000000,"Medium","Low"))</f>
        <v>High</v>
      </c>
    </row>
    <row r="36" spans="1:10" ht="115.2" x14ac:dyDescent="0.3">
      <c r="A36" s="6" t="s">
        <v>159</v>
      </c>
      <c r="B36" s="7" t="s">
        <v>160</v>
      </c>
      <c r="C36" s="8" t="s">
        <v>161</v>
      </c>
      <c r="D36" s="7" t="s">
        <v>153</v>
      </c>
      <c r="E36" s="7">
        <v>2015</v>
      </c>
      <c r="F36" s="7" t="s">
        <v>4</v>
      </c>
      <c r="G36" s="7" t="s">
        <v>53</v>
      </c>
      <c r="H36" s="7" t="s">
        <v>162</v>
      </c>
      <c r="I36" s="9" t="str">
        <f>IF([1]!musicmd[[#This Row],[Views (YouTube)]]&gt;50000000,"Hit",IF([1]!musicmd[[#This Row],[Views (YouTube)]]&gt;10000000,"Average","Low"))</f>
        <v>Hit</v>
      </c>
      <c r="J36" s="10" t="str">
        <f>IF([1]!musicmd[[#This Row],[Views (YouTube)]]&gt;50000000,"High",IF([1]!musicmd[[#This Row],[Views (YouTube)]]&gt;10000000,"Medium","Low"))</f>
        <v>High</v>
      </c>
    </row>
    <row r="37" spans="1:10" x14ac:dyDescent="0.3">
      <c r="A37" s="1" t="s">
        <v>163</v>
      </c>
      <c r="B37" s="2" t="s">
        <v>164</v>
      </c>
      <c r="C37" s="2" t="s">
        <v>165</v>
      </c>
      <c r="D37" s="2" t="s">
        <v>153</v>
      </c>
      <c r="E37" s="2">
        <v>2015</v>
      </c>
      <c r="F37" s="2" t="s">
        <v>4</v>
      </c>
      <c r="G37" s="2" t="s">
        <v>72</v>
      </c>
      <c r="H37" s="2" t="s">
        <v>166</v>
      </c>
      <c r="I37" s="4" t="str">
        <f>IF([1]!musicmd[[#This Row],[Views (YouTube)]]&gt;50000000,"Hit",IF([1]!musicmd[[#This Row],[Views (YouTube)]]&gt;10000000,"Average","Low"))</f>
        <v>Hit</v>
      </c>
      <c r="J37" s="5" t="str">
        <f>IF([1]!musicmd[[#This Row],[Views (YouTube)]]&gt;50000000,"High",IF([1]!musicmd[[#This Row],[Views (YouTube)]]&gt;10000000,"Medium","Low"))</f>
        <v>High</v>
      </c>
    </row>
    <row r="38" spans="1:10" ht="100.8" x14ac:dyDescent="0.3">
      <c r="A38" s="6" t="s">
        <v>167</v>
      </c>
      <c r="B38" s="7" t="s">
        <v>168</v>
      </c>
      <c r="C38" s="8" t="s">
        <v>169</v>
      </c>
      <c r="D38" s="7" t="s">
        <v>170</v>
      </c>
      <c r="E38" s="7">
        <v>2023</v>
      </c>
      <c r="F38" s="7" t="s">
        <v>4</v>
      </c>
      <c r="G38" s="7" t="s">
        <v>72</v>
      </c>
      <c r="H38" s="7" t="s">
        <v>171</v>
      </c>
      <c r="I38" s="9" t="str">
        <f>IF([1]!musicmd[[#This Row],[Views (YouTube)]]&gt;50000000,"Hit",IF([1]!musicmd[[#This Row],[Views (YouTube)]]&gt;10000000,"Average","Low"))</f>
        <v>Hit</v>
      </c>
      <c r="J38" s="10" t="str">
        <f>IF([1]!musicmd[[#This Row],[Views (YouTube)]]&gt;50000000,"High",IF([1]!musicmd[[#This Row],[Views (YouTube)]]&gt;10000000,"Medium","Low"))</f>
        <v>High</v>
      </c>
    </row>
    <row r="39" spans="1:10" x14ac:dyDescent="0.3">
      <c r="A39" s="1" t="s">
        <v>172</v>
      </c>
      <c r="B39" s="2" t="s">
        <v>173</v>
      </c>
      <c r="C39" s="2" t="s">
        <v>174</v>
      </c>
      <c r="D39" s="2" t="s">
        <v>170</v>
      </c>
      <c r="E39" s="2">
        <v>2023</v>
      </c>
      <c r="F39" s="2" t="s">
        <v>4</v>
      </c>
      <c r="G39" s="2" t="s">
        <v>72</v>
      </c>
      <c r="H39" s="2" t="s">
        <v>175</v>
      </c>
      <c r="I39" s="4" t="str">
        <f>IF([1]!musicmd[[#This Row],[Views (YouTube)]]&gt;50000000,"Hit",IF([1]!musicmd[[#This Row],[Views (YouTube)]]&gt;10000000,"Average","Low"))</f>
        <v>Hit</v>
      </c>
      <c r="J39" s="5" t="str">
        <f>IF([1]!musicmd[[#This Row],[Views (YouTube)]]&gt;50000000,"High",IF([1]!musicmd[[#This Row],[Views (YouTube)]]&gt;10000000,"Medium","Low"))</f>
        <v>High</v>
      </c>
    </row>
    <row r="40" spans="1:10" ht="72" x14ac:dyDescent="0.3">
      <c r="A40" s="6" t="s">
        <v>176</v>
      </c>
      <c r="B40" s="7" t="s">
        <v>177</v>
      </c>
      <c r="C40" s="8" t="s">
        <v>178</v>
      </c>
      <c r="D40" s="7" t="s">
        <v>179</v>
      </c>
      <c r="E40" s="7">
        <v>2009</v>
      </c>
      <c r="F40" s="7" t="s">
        <v>4</v>
      </c>
      <c r="G40" s="7" t="s">
        <v>10</v>
      </c>
      <c r="H40" s="7" t="s">
        <v>180</v>
      </c>
      <c r="I40" s="9" t="str">
        <f>IF([1]!musicmd[[#This Row],[Views (YouTube)]]&gt;50000000,"Hit",IF([1]!musicmd[[#This Row],[Views (YouTube)]]&gt;10000000,"Average","Low"))</f>
        <v>Hit</v>
      </c>
      <c r="J40" s="10" t="str">
        <f>IF([1]!musicmd[[#This Row],[Views (YouTube)]]&gt;50000000,"High",IF([1]!musicmd[[#This Row],[Views (YouTube)]]&gt;10000000,"Medium","Low"))</f>
        <v>High</v>
      </c>
    </row>
    <row r="41" spans="1:10" ht="57.6" x14ac:dyDescent="0.3">
      <c r="A41" s="1" t="s">
        <v>181</v>
      </c>
      <c r="B41" s="2" t="s">
        <v>182</v>
      </c>
      <c r="C41" s="3" t="s">
        <v>183</v>
      </c>
      <c r="D41" s="2" t="s">
        <v>179</v>
      </c>
      <c r="E41" s="2">
        <v>2009</v>
      </c>
      <c r="F41" s="2" t="s">
        <v>4</v>
      </c>
      <c r="G41" s="2" t="s">
        <v>184</v>
      </c>
      <c r="H41" s="2" t="s">
        <v>78</v>
      </c>
      <c r="I41" s="4" t="str">
        <f>IF([1]!musicmd[[#This Row],[Views (YouTube)]]&gt;50000000,"Hit",IF([1]!musicmd[[#This Row],[Views (YouTube)]]&gt;10000000,"Average","Low"))</f>
        <v>Hit</v>
      </c>
      <c r="J41" s="5" t="str">
        <f>IF([1]!musicmd[[#This Row],[Views (YouTube)]]&gt;50000000,"High",IF([1]!musicmd[[#This Row],[Views (YouTube)]]&gt;10000000,"Medium","Low"))</f>
        <v>High</v>
      </c>
    </row>
    <row r="42" spans="1:10" ht="57.6" x14ac:dyDescent="0.3">
      <c r="A42" s="6" t="s">
        <v>185</v>
      </c>
      <c r="B42" s="7" t="s">
        <v>186</v>
      </c>
      <c r="C42" s="8" t="s">
        <v>187</v>
      </c>
      <c r="D42" s="7" t="s">
        <v>188</v>
      </c>
      <c r="E42" s="7">
        <v>2005</v>
      </c>
      <c r="F42" s="7" t="s">
        <v>4</v>
      </c>
      <c r="G42" s="7" t="s">
        <v>143</v>
      </c>
      <c r="H42" s="7" t="s">
        <v>189</v>
      </c>
      <c r="I42" s="9" t="str">
        <f>IF([1]!musicmd[[#This Row],[Views (YouTube)]]&gt;50000000,"Hit",IF([1]!musicmd[[#This Row],[Views (YouTube)]]&gt;10000000,"Average","Low"))</f>
        <v>Hit</v>
      </c>
      <c r="J42" s="10" t="str">
        <f>IF([1]!musicmd[[#This Row],[Views (YouTube)]]&gt;50000000,"High",IF([1]!musicmd[[#This Row],[Views (YouTube)]]&gt;10000000,"Medium","Low"))</f>
        <v>High</v>
      </c>
    </row>
    <row r="43" spans="1:10" ht="57.6" x14ac:dyDescent="0.3">
      <c r="A43" s="1" t="s">
        <v>190</v>
      </c>
      <c r="B43" s="2" t="s">
        <v>191</v>
      </c>
      <c r="C43" s="3" t="s">
        <v>192</v>
      </c>
      <c r="D43" s="2" t="s">
        <v>188</v>
      </c>
      <c r="E43" s="2">
        <v>2005</v>
      </c>
      <c r="F43" s="2" t="s">
        <v>4</v>
      </c>
      <c r="G43" s="2" t="s">
        <v>143</v>
      </c>
      <c r="H43" s="2" t="s">
        <v>78</v>
      </c>
      <c r="I43" s="4" t="str">
        <f>IF([1]!musicmd[[#This Row],[Views (YouTube)]]&gt;50000000,"Hit",IF([1]!musicmd[[#This Row],[Views (YouTube)]]&gt;10000000,"Average","Low"))</f>
        <v>Hit</v>
      </c>
      <c r="J43" s="5" t="str">
        <f>IF([1]!musicmd[[#This Row],[Views (YouTube)]]&gt;50000000,"High",IF([1]!musicmd[[#This Row],[Views (YouTube)]]&gt;10000000,"Medium","Low"))</f>
        <v>High</v>
      </c>
    </row>
    <row r="44" spans="1:10" ht="57.6" x14ac:dyDescent="0.3">
      <c r="A44" s="6" t="s">
        <v>193</v>
      </c>
      <c r="B44" s="7" t="s">
        <v>194</v>
      </c>
      <c r="C44" s="8" t="s">
        <v>195</v>
      </c>
      <c r="D44" s="7" t="s">
        <v>188</v>
      </c>
      <c r="E44" s="7">
        <v>2005</v>
      </c>
      <c r="F44" s="7" t="s">
        <v>4</v>
      </c>
      <c r="G44" s="7" t="s">
        <v>143</v>
      </c>
      <c r="H44" s="7" t="s">
        <v>196</v>
      </c>
      <c r="I44" s="9" t="str">
        <f>IF([1]!musicmd[[#This Row],[Views (YouTube)]]&gt;50000000,"Hit",IF([1]!musicmd[[#This Row],[Views (YouTube)]]&gt;10000000,"Average","Low"))</f>
        <v>Hit</v>
      </c>
      <c r="J44" s="10" t="str">
        <f>IF([1]!musicmd[[#This Row],[Views (YouTube)]]&gt;50000000,"High",IF([1]!musicmd[[#This Row],[Views (YouTube)]]&gt;10000000,"Medium","Low"))</f>
        <v>High</v>
      </c>
    </row>
    <row r="45" spans="1:10" ht="72" x14ac:dyDescent="0.3">
      <c r="A45" s="1" t="s">
        <v>197</v>
      </c>
      <c r="B45" s="2" t="s">
        <v>198</v>
      </c>
      <c r="C45" s="3" t="s">
        <v>199</v>
      </c>
      <c r="D45" s="2" t="s">
        <v>200</v>
      </c>
      <c r="E45" s="2">
        <v>2011</v>
      </c>
      <c r="F45" s="2" t="s">
        <v>4</v>
      </c>
      <c r="G45" s="2" t="s">
        <v>10</v>
      </c>
      <c r="H45" s="2" t="s">
        <v>201</v>
      </c>
      <c r="I45" s="4" t="str">
        <f>IF([1]!musicmd[[#This Row],[Views (YouTube)]]&gt;50000000,"Hit",IF([1]!musicmd[[#This Row],[Views (YouTube)]]&gt;10000000,"Average","Low"))</f>
        <v>Hit</v>
      </c>
      <c r="J45" s="5" t="str">
        <f>IF([1]!musicmd[[#This Row],[Views (YouTube)]]&gt;50000000,"High",IF([1]!musicmd[[#This Row],[Views (YouTube)]]&gt;10000000,"Medium","Low"))</f>
        <v>High</v>
      </c>
    </row>
    <row r="46" spans="1:10" ht="43.2" x14ac:dyDescent="0.3">
      <c r="A46" s="6" t="s">
        <v>202</v>
      </c>
      <c r="B46" s="7" t="s">
        <v>203</v>
      </c>
      <c r="C46" s="8" t="s">
        <v>204</v>
      </c>
      <c r="D46" s="7" t="s">
        <v>205</v>
      </c>
      <c r="E46" s="7">
        <v>2015</v>
      </c>
      <c r="F46" s="7" t="s">
        <v>4</v>
      </c>
      <c r="G46" s="7" t="s">
        <v>72</v>
      </c>
      <c r="H46" s="7" t="s">
        <v>82</v>
      </c>
      <c r="I46" s="9" t="str">
        <f>IF([1]!musicmd[[#This Row],[Views (YouTube)]]&gt;50000000,"Hit",IF([1]!musicmd[[#This Row],[Views (YouTube)]]&gt;10000000,"Average","Low"))</f>
        <v>Hit</v>
      </c>
      <c r="J46" s="10" t="str">
        <f>IF([1]!musicmd[[#This Row],[Views (YouTube)]]&gt;50000000,"High",IF([1]!musicmd[[#This Row],[Views (YouTube)]]&gt;10000000,"Medium","Low"))</f>
        <v>High</v>
      </c>
    </row>
    <row r="47" spans="1:10" ht="57.6" x14ac:dyDescent="0.3">
      <c r="A47" s="1" t="s">
        <v>206</v>
      </c>
      <c r="B47" s="2" t="s">
        <v>207</v>
      </c>
      <c r="C47" s="3" t="s">
        <v>208</v>
      </c>
      <c r="D47" s="2" t="s">
        <v>205</v>
      </c>
      <c r="E47" s="2">
        <v>2015</v>
      </c>
      <c r="F47" s="2" t="s">
        <v>4</v>
      </c>
      <c r="G47" s="2" t="s">
        <v>48</v>
      </c>
      <c r="H47" s="2" t="s">
        <v>209</v>
      </c>
      <c r="I47" s="4" t="str">
        <f>IF([1]!musicmd[[#This Row],[Views (YouTube)]]&gt;50000000,"Hit",IF([1]!musicmd[[#This Row],[Views (YouTube)]]&gt;10000000,"Average","Low"))</f>
        <v>Hit</v>
      </c>
      <c r="J47" s="5" t="str">
        <f>IF([1]!musicmd[[#This Row],[Views (YouTube)]]&gt;50000000,"High",IF([1]!musicmd[[#This Row],[Views (YouTube)]]&gt;10000000,"Medium","Low"))</f>
        <v>High</v>
      </c>
    </row>
    <row r="48" spans="1:10" ht="43.2" x14ac:dyDescent="0.3">
      <c r="A48" s="6" t="s">
        <v>210</v>
      </c>
      <c r="B48" s="7" t="s">
        <v>211</v>
      </c>
      <c r="C48" s="8" t="s">
        <v>212</v>
      </c>
      <c r="D48" s="7" t="s">
        <v>205</v>
      </c>
      <c r="E48" s="7">
        <v>2015</v>
      </c>
      <c r="F48" s="7" t="s">
        <v>4</v>
      </c>
      <c r="G48" s="7" t="s">
        <v>72</v>
      </c>
      <c r="H48" s="7" t="s">
        <v>166</v>
      </c>
      <c r="I48" s="9" t="str">
        <f>IF([1]!musicmd[[#This Row],[Views (YouTube)]]&gt;50000000,"Hit",IF([1]!musicmd[[#This Row],[Views (YouTube)]]&gt;10000000,"Average","Low"))</f>
        <v>Hit</v>
      </c>
      <c r="J48" s="10" t="str">
        <f>IF([1]!musicmd[[#This Row],[Views (YouTube)]]&gt;50000000,"High",IF([1]!musicmd[[#This Row],[Views (YouTube)]]&gt;10000000,"Medium","Low"))</f>
        <v>High</v>
      </c>
    </row>
    <row r="49" spans="1:10" ht="86.4" x14ac:dyDescent="0.3">
      <c r="A49" s="1" t="s">
        <v>213</v>
      </c>
      <c r="B49" s="2" t="s">
        <v>214</v>
      </c>
      <c r="C49" s="3" t="s">
        <v>215</v>
      </c>
      <c r="D49" s="2" t="s">
        <v>205</v>
      </c>
      <c r="E49" s="2">
        <v>2015</v>
      </c>
      <c r="F49" s="2" t="s">
        <v>4</v>
      </c>
      <c r="G49" s="2" t="s">
        <v>10</v>
      </c>
      <c r="H49" s="2" t="s">
        <v>216</v>
      </c>
      <c r="I49" s="4" t="str">
        <f>IF([1]!musicmd[[#This Row],[Views (YouTube)]]&gt;50000000,"Hit",IF([1]!musicmd[[#This Row],[Views (YouTube)]]&gt;10000000,"Average","Low"))</f>
        <v>Hit</v>
      </c>
      <c r="J49" s="5" t="str">
        <f>IF([1]!musicmd[[#This Row],[Views (YouTube)]]&gt;50000000,"High",IF([1]!musicmd[[#This Row],[Views (YouTube)]]&gt;10000000,"Medium","Low"))</f>
        <v>High</v>
      </c>
    </row>
    <row r="50" spans="1:10" ht="43.2" x14ac:dyDescent="0.3">
      <c r="A50" s="6" t="s">
        <v>217</v>
      </c>
      <c r="B50" s="7" t="s">
        <v>218</v>
      </c>
      <c r="C50" s="8" t="s">
        <v>219</v>
      </c>
      <c r="D50" s="7" t="s">
        <v>205</v>
      </c>
      <c r="E50" s="7">
        <v>2015</v>
      </c>
      <c r="F50" s="7" t="s">
        <v>4</v>
      </c>
      <c r="G50" s="7" t="s">
        <v>72</v>
      </c>
      <c r="H50" s="7" t="s">
        <v>149</v>
      </c>
      <c r="I50" s="9" t="str">
        <f>IF([1]!musicmd[[#This Row],[Views (YouTube)]]&gt;50000000,"Hit",IF([1]!musicmd[[#This Row],[Views (YouTube)]]&gt;10000000,"Average","Low"))</f>
        <v>Hit</v>
      </c>
      <c r="J50" s="10" t="str">
        <f>IF([1]!musicmd[[#This Row],[Views (YouTube)]]&gt;50000000,"High",IF([1]!musicmd[[#This Row],[Views (YouTube)]]&gt;10000000,"Medium","Low"))</f>
        <v>High</v>
      </c>
    </row>
    <row r="51" spans="1:10" ht="72" x14ac:dyDescent="0.3">
      <c r="A51" s="1" t="s">
        <v>220</v>
      </c>
      <c r="B51" s="2" t="s">
        <v>221</v>
      </c>
      <c r="C51" s="3" t="s">
        <v>222</v>
      </c>
      <c r="D51" s="2" t="s">
        <v>223</v>
      </c>
      <c r="E51" s="2">
        <v>2013</v>
      </c>
      <c r="F51" s="2" t="s">
        <v>4</v>
      </c>
      <c r="G51" s="2" t="s">
        <v>10</v>
      </c>
      <c r="H51" s="2" t="s">
        <v>224</v>
      </c>
      <c r="I51" s="4" t="str">
        <f>IF([1]!musicmd[[#This Row],[Views (YouTube)]]&gt;50000000,"Hit",IF([1]!musicmd[[#This Row],[Views (YouTube)]]&gt;10000000,"Average","Low"))</f>
        <v>Hit</v>
      </c>
      <c r="J51" s="5" t="str">
        <f>IF([1]!musicmd[[#This Row],[Views (YouTube)]]&gt;50000000,"High",IF([1]!musicmd[[#This Row],[Views (YouTube)]]&gt;10000000,"Medium","Low"))</f>
        <v>High</v>
      </c>
    </row>
    <row r="52" spans="1:10" ht="100.8" x14ac:dyDescent="0.3">
      <c r="A52" s="6" t="s">
        <v>225</v>
      </c>
      <c r="B52" s="7" t="s">
        <v>226</v>
      </c>
      <c r="C52" s="8" t="s">
        <v>227</v>
      </c>
      <c r="D52" s="7" t="s">
        <v>228</v>
      </c>
      <c r="E52" s="7">
        <v>2023</v>
      </c>
      <c r="F52" s="7" t="s">
        <v>4</v>
      </c>
      <c r="G52" s="7" t="s">
        <v>43</v>
      </c>
      <c r="H52" s="7" t="s">
        <v>229</v>
      </c>
      <c r="I52" s="9" t="str">
        <f>IF([1]!musicmd[[#This Row],[Views (YouTube)]]&gt;50000000,"Hit",IF([1]!musicmd[[#This Row],[Views (YouTube)]]&gt;10000000,"Average","Low"))</f>
        <v>Hit</v>
      </c>
      <c r="J52" s="10" t="str">
        <f>IF([1]!musicmd[[#This Row],[Views (YouTube)]]&gt;50000000,"High",IF([1]!musicmd[[#This Row],[Views (YouTube)]]&gt;10000000,"Medium","Low"))</f>
        <v>High</v>
      </c>
    </row>
    <row r="53" spans="1:10" ht="28.8" x14ac:dyDescent="0.3">
      <c r="A53" s="1" t="s">
        <v>230</v>
      </c>
      <c r="B53" s="2" t="s">
        <v>231</v>
      </c>
      <c r="C53" s="3" t="s">
        <v>232</v>
      </c>
      <c r="D53" s="2" t="s">
        <v>233</v>
      </c>
      <c r="E53" s="2">
        <v>2013</v>
      </c>
      <c r="F53" s="2" t="s">
        <v>234</v>
      </c>
      <c r="G53" s="2" t="s">
        <v>72</v>
      </c>
      <c r="H53" s="2" t="s">
        <v>235</v>
      </c>
      <c r="I53" s="4" t="str">
        <f>IF([1]!musicmd[[#This Row],[Views (YouTube)]]&gt;50000000,"Hit",IF([1]!musicmd[[#This Row],[Views (YouTube)]]&gt;10000000,"Average","Low"))</f>
        <v>Hit</v>
      </c>
      <c r="J53" s="5" t="str">
        <f>IF([1]!musicmd[[#This Row],[Views (YouTube)]]&gt;50000000,"High",IF([1]!musicmd[[#This Row],[Views (YouTube)]]&gt;10000000,"Medium","Low"))</f>
        <v>High</v>
      </c>
    </row>
    <row r="54" spans="1:10" ht="100.8" x14ac:dyDescent="0.3">
      <c r="A54" s="6" t="s">
        <v>236</v>
      </c>
      <c r="B54" s="7" t="s">
        <v>237</v>
      </c>
      <c r="C54" s="8" t="s">
        <v>238</v>
      </c>
      <c r="D54" s="7" t="s">
        <v>233</v>
      </c>
      <c r="E54" s="7">
        <v>2013</v>
      </c>
      <c r="F54" s="7" t="s">
        <v>234</v>
      </c>
      <c r="G54" s="7" t="s">
        <v>239</v>
      </c>
      <c r="H54" s="7" t="s">
        <v>240</v>
      </c>
      <c r="I54" s="9" t="str">
        <f>IF([1]!musicmd[[#This Row],[Views (YouTube)]]&gt;50000000,"Hit",IF([1]!musicmd[[#This Row],[Views (YouTube)]]&gt;10000000,"Average","Low"))</f>
        <v>Hit</v>
      </c>
      <c r="J54" s="10" t="str">
        <f>IF([1]!musicmd[[#This Row],[Views (YouTube)]]&gt;50000000,"High",IF([1]!musicmd[[#This Row],[Views (YouTube)]]&gt;10000000,"Medium","Low"))</f>
        <v>High</v>
      </c>
    </row>
    <row r="55" spans="1:10" ht="57.6" x14ac:dyDescent="0.3">
      <c r="A55" s="1" t="s">
        <v>241</v>
      </c>
      <c r="B55" s="2" t="s">
        <v>242</v>
      </c>
      <c r="C55" s="3" t="s">
        <v>243</v>
      </c>
      <c r="D55" s="2" t="s">
        <v>244</v>
      </c>
      <c r="E55" s="2">
        <v>2019</v>
      </c>
      <c r="F55" s="2" t="s">
        <v>234</v>
      </c>
      <c r="G55" s="2" t="s">
        <v>109</v>
      </c>
      <c r="H55" s="2" t="s">
        <v>245</v>
      </c>
      <c r="I55" s="4" t="str">
        <f>IF([1]!musicmd[[#This Row],[Views (YouTube)]]&gt;50000000,"Hit",IF([1]!musicmd[[#This Row],[Views (YouTube)]]&gt;10000000,"Average","Low"))</f>
        <v>Hit</v>
      </c>
      <c r="J55" s="5" t="str">
        <f>IF([1]!musicmd[[#This Row],[Views (YouTube)]]&gt;50000000,"High",IF([1]!musicmd[[#This Row],[Views (YouTube)]]&gt;10000000,"Medium","Low"))</f>
        <v>High</v>
      </c>
    </row>
    <row r="56" spans="1:10" x14ac:dyDescent="0.3">
      <c r="A56" s="6" t="s">
        <v>246</v>
      </c>
      <c r="B56" s="7" t="s">
        <v>247</v>
      </c>
      <c r="C56" s="7" t="s">
        <v>248</v>
      </c>
      <c r="D56" s="7" t="s">
        <v>249</v>
      </c>
      <c r="E56" s="7">
        <v>2013</v>
      </c>
      <c r="F56" s="7" t="s">
        <v>234</v>
      </c>
      <c r="G56" s="7" t="s">
        <v>239</v>
      </c>
      <c r="H56" s="7" t="s">
        <v>250</v>
      </c>
      <c r="I56" s="9" t="str">
        <f>IF([1]!musicmd[[#This Row],[Views (YouTube)]]&gt;50000000,"Hit",IF([1]!musicmd[[#This Row],[Views (YouTube)]]&gt;10000000,"Average","Low"))</f>
        <v>Hit</v>
      </c>
      <c r="J56" s="10" t="str">
        <f>IF([1]!musicmd[[#This Row],[Views (YouTube)]]&gt;50000000,"High",IF([1]!musicmd[[#This Row],[Views (YouTube)]]&gt;10000000,"Medium","Low"))</f>
        <v>High</v>
      </c>
    </row>
    <row r="57" spans="1:10" ht="86.4" x14ac:dyDescent="0.3">
      <c r="A57" s="1" t="s">
        <v>251</v>
      </c>
      <c r="B57" s="2" t="s">
        <v>252</v>
      </c>
      <c r="C57" s="3" t="s">
        <v>253</v>
      </c>
      <c r="D57" s="2" t="s">
        <v>252</v>
      </c>
      <c r="E57" s="2">
        <v>2021</v>
      </c>
      <c r="F57" s="2" t="s">
        <v>234</v>
      </c>
      <c r="G57" s="2" t="s">
        <v>72</v>
      </c>
      <c r="H57" s="2" t="s">
        <v>254</v>
      </c>
      <c r="I57" s="4" t="str">
        <f>IF([1]!musicmd[[#This Row],[Views (YouTube)]]&gt;50000000,"Hit",IF([1]!musicmd[[#This Row],[Views (YouTube)]]&gt;10000000,"Average","Low"))</f>
        <v>Hit</v>
      </c>
      <c r="J57" s="5" t="str">
        <f>IF([1]!musicmd[[#This Row],[Views (YouTube)]]&gt;50000000,"High",IF([1]!musicmd[[#This Row],[Views (YouTube)]]&gt;10000000,"Medium","Low"))</f>
        <v>High</v>
      </c>
    </row>
    <row r="58" spans="1:10" x14ac:dyDescent="0.3">
      <c r="A58" s="6" t="s">
        <v>255</v>
      </c>
      <c r="B58" s="7" t="s">
        <v>256</v>
      </c>
      <c r="C58" s="7" t="s">
        <v>257</v>
      </c>
      <c r="D58" s="7" t="s">
        <v>258</v>
      </c>
      <c r="E58" s="7">
        <v>2022</v>
      </c>
      <c r="F58" s="7" t="s">
        <v>234</v>
      </c>
      <c r="G58" s="7" t="s">
        <v>10</v>
      </c>
      <c r="H58" s="7" t="s">
        <v>259</v>
      </c>
      <c r="I58" s="9" t="str">
        <f>IF([1]!musicmd[[#This Row],[Views (YouTube)]]&gt;50000000,"Hit",IF([1]!musicmd[[#This Row],[Views (YouTube)]]&gt;10000000,"Average","Low"))</f>
        <v>Hit</v>
      </c>
      <c r="J58" s="10" t="str">
        <f>IF([1]!musicmd[[#This Row],[Views (YouTube)]]&gt;50000000,"High",IF([1]!musicmd[[#This Row],[Views (YouTube)]]&gt;10000000,"Medium","Low"))</f>
        <v>High</v>
      </c>
    </row>
    <row r="59" spans="1:10" ht="86.4" x14ac:dyDescent="0.3">
      <c r="A59" s="1" t="s">
        <v>260</v>
      </c>
      <c r="B59" s="2" t="s">
        <v>261</v>
      </c>
      <c r="C59" s="3" t="s">
        <v>262</v>
      </c>
      <c r="D59" s="2" t="s">
        <v>263</v>
      </c>
      <c r="E59" s="2">
        <v>2012</v>
      </c>
      <c r="F59" s="2" t="s">
        <v>234</v>
      </c>
      <c r="G59" s="2" t="s">
        <v>43</v>
      </c>
      <c r="H59" s="2" t="s">
        <v>82</v>
      </c>
      <c r="I59" s="4" t="str">
        <f>IF([1]!musicmd[[#This Row],[Views (YouTube)]]&gt;50000000,"Hit",IF([1]!musicmd[[#This Row],[Views (YouTube)]]&gt;10000000,"Average","Low"))</f>
        <v>Hit</v>
      </c>
      <c r="J59" s="5" t="str">
        <f>IF([1]!musicmd[[#This Row],[Views (YouTube)]]&gt;50000000,"High",IF([1]!musicmd[[#This Row],[Views (YouTube)]]&gt;10000000,"Medium","Low"))</f>
        <v>High</v>
      </c>
    </row>
    <row r="60" spans="1:10" ht="86.4" x14ac:dyDescent="0.3">
      <c r="A60" s="6" t="s">
        <v>264</v>
      </c>
      <c r="B60" s="7" t="s">
        <v>265</v>
      </c>
      <c r="C60" s="8" t="s">
        <v>266</v>
      </c>
      <c r="D60" s="7" t="s">
        <v>263</v>
      </c>
      <c r="E60" s="7">
        <v>2012</v>
      </c>
      <c r="F60" s="7" t="s">
        <v>234</v>
      </c>
      <c r="G60" s="7" t="s">
        <v>267</v>
      </c>
      <c r="H60" s="7" t="s">
        <v>268</v>
      </c>
      <c r="I60" s="9" t="str">
        <f>IF([1]!musicmd[[#This Row],[Views (YouTube)]]&gt;50000000,"Hit",IF([1]!musicmd[[#This Row],[Views (YouTube)]]&gt;10000000,"Average","Low"))</f>
        <v>Hit</v>
      </c>
      <c r="J60" s="10" t="str">
        <f>IF([1]!musicmd[[#This Row],[Views (YouTube)]]&gt;50000000,"High",IF([1]!musicmd[[#This Row],[Views (YouTube)]]&gt;10000000,"Medium","Low"))</f>
        <v>High</v>
      </c>
    </row>
    <row r="61" spans="1:10" ht="57.6" x14ac:dyDescent="0.3">
      <c r="A61" s="1" t="s">
        <v>269</v>
      </c>
      <c r="B61" s="2" t="s">
        <v>270</v>
      </c>
      <c r="C61" s="3" t="s">
        <v>271</v>
      </c>
      <c r="D61" s="2" t="s">
        <v>272</v>
      </c>
      <c r="E61" s="2">
        <v>2014</v>
      </c>
      <c r="F61" s="2" t="s">
        <v>234</v>
      </c>
      <c r="G61" s="2" t="s">
        <v>72</v>
      </c>
      <c r="H61" s="2" t="s">
        <v>273</v>
      </c>
      <c r="I61" s="4" t="str">
        <f>IF([1]!musicmd[[#This Row],[Views (YouTube)]]&gt;50000000,"Hit",IF([1]!musicmd[[#This Row],[Views (YouTube)]]&gt;10000000,"Average","Low"))</f>
        <v>Hit</v>
      </c>
      <c r="J61" s="5" t="str">
        <f>IF([1]!musicmd[[#This Row],[Views (YouTube)]]&gt;50000000,"High",IF([1]!musicmd[[#This Row],[Views (YouTube)]]&gt;10000000,"Medium","Low"))</f>
        <v>High</v>
      </c>
    </row>
    <row r="62" spans="1:10" ht="72" x14ac:dyDescent="0.3">
      <c r="A62" s="6" t="s">
        <v>274</v>
      </c>
      <c r="B62" s="7" t="s">
        <v>275</v>
      </c>
      <c r="C62" s="8" t="s">
        <v>276</v>
      </c>
      <c r="D62" s="7" t="s">
        <v>277</v>
      </c>
      <c r="E62" s="7">
        <v>2009</v>
      </c>
      <c r="F62" s="7" t="s">
        <v>234</v>
      </c>
      <c r="G62" s="7" t="s">
        <v>21</v>
      </c>
      <c r="H62" s="7" t="s">
        <v>278</v>
      </c>
      <c r="I62" s="9" t="str">
        <f>IF([1]!musicmd[[#This Row],[Views (YouTube)]]&gt;50000000,"Hit",IF([1]!musicmd[[#This Row],[Views (YouTube)]]&gt;10000000,"Average","Low"))</f>
        <v>Hit</v>
      </c>
      <c r="J62" s="10" t="str">
        <f>IF([1]!musicmd[[#This Row],[Views (YouTube)]]&gt;50000000,"High",IF([1]!musicmd[[#This Row],[Views (YouTube)]]&gt;10000000,"Medium","Low"))</f>
        <v>High</v>
      </c>
    </row>
    <row r="63" spans="1:10" x14ac:dyDescent="0.3">
      <c r="A63" s="1" t="s">
        <v>279</v>
      </c>
      <c r="B63" s="2" t="s">
        <v>280</v>
      </c>
      <c r="C63" s="2" t="s">
        <v>281</v>
      </c>
      <c r="D63" s="2" t="s">
        <v>282</v>
      </c>
      <c r="E63" s="2">
        <v>2021</v>
      </c>
      <c r="F63" s="2" t="s">
        <v>234</v>
      </c>
      <c r="G63" s="2" t="s">
        <v>72</v>
      </c>
      <c r="H63" s="2" t="s">
        <v>283</v>
      </c>
      <c r="I63" s="4" t="str">
        <f>IF([1]!musicmd[[#This Row],[Views (YouTube)]]&gt;50000000,"Hit",IF([1]!musicmd[[#This Row],[Views (YouTube)]]&gt;10000000,"Average","Low"))</f>
        <v>Hit</v>
      </c>
      <c r="J63" s="5" t="str">
        <f>IF([1]!musicmd[[#This Row],[Views (YouTube)]]&gt;50000000,"High",IF([1]!musicmd[[#This Row],[Views (YouTube)]]&gt;10000000,"Medium","Low"))</f>
        <v>High</v>
      </c>
    </row>
    <row r="64" spans="1:10" x14ac:dyDescent="0.3">
      <c r="A64" s="6" t="s">
        <v>284</v>
      </c>
      <c r="B64" s="7" t="s">
        <v>285</v>
      </c>
      <c r="C64" s="7" t="s">
        <v>286</v>
      </c>
      <c r="D64" s="7" t="s">
        <v>287</v>
      </c>
      <c r="E64" s="7">
        <v>2019</v>
      </c>
      <c r="F64" s="7" t="s">
        <v>234</v>
      </c>
      <c r="G64" s="7" t="s">
        <v>43</v>
      </c>
      <c r="H64" s="7" t="s">
        <v>288</v>
      </c>
      <c r="I64" s="9" t="str">
        <f>IF([1]!musicmd[[#This Row],[Views (YouTube)]]&gt;50000000,"Hit",IF([1]!musicmd[[#This Row],[Views (YouTube)]]&gt;10000000,"Average","Low"))</f>
        <v>Hit</v>
      </c>
      <c r="J64" s="10" t="str">
        <f>IF([1]!musicmd[[#This Row],[Views (YouTube)]]&gt;50000000,"High",IF([1]!musicmd[[#This Row],[Views (YouTube)]]&gt;10000000,"Medium","Low"))</f>
        <v>High</v>
      </c>
    </row>
    <row r="65" spans="1:10" x14ac:dyDescent="0.3">
      <c r="A65" s="1" t="s">
        <v>289</v>
      </c>
      <c r="B65" s="2" t="s">
        <v>290</v>
      </c>
      <c r="C65" s="2" t="s">
        <v>291</v>
      </c>
      <c r="D65" s="2" t="s">
        <v>287</v>
      </c>
      <c r="E65" s="2">
        <v>2019</v>
      </c>
      <c r="F65" s="2" t="s">
        <v>234</v>
      </c>
      <c r="G65" s="2" t="s">
        <v>143</v>
      </c>
      <c r="H65" s="2" t="s">
        <v>292</v>
      </c>
      <c r="I65" s="4" t="str">
        <f>IF([1]!musicmd[[#This Row],[Views (YouTube)]]&gt;50000000,"Hit",IF([1]!musicmd[[#This Row],[Views (YouTube)]]&gt;10000000,"Average","Low"))</f>
        <v>Hit</v>
      </c>
      <c r="J65" s="5" t="str">
        <f>IF([1]!musicmd[[#This Row],[Views (YouTube)]]&gt;50000000,"High",IF([1]!musicmd[[#This Row],[Views (YouTube)]]&gt;10000000,"Medium","Low"))</f>
        <v>High</v>
      </c>
    </row>
    <row r="66" spans="1:10" ht="86.4" x14ac:dyDescent="0.3">
      <c r="A66" s="6" t="s">
        <v>293</v>
      </c>
      <c r="B66" s="7" t="s">
        <v>294</v>
      </c>
      <c r="C66" s="8" t="s">
        <v>295</v>
      </c>
      <c r="D66" s="7" t="s">
        <v>287</v>
      </c>
      <c r="E66" s="7">
        <v>2019</v>
      </c>
      <c r="F66" s="7" t="s">
        <v>234</v>
      </c>
      <c r="G66" s="7" t="s">
        <v>43</v>
      </c>
      <c r="H66" s="7" t="s">
        <v>82</v>
      </c>
      <c r="I66" s="9" t="str">
        <f>IF([1]!musicmd[[#This Row],[Views (YouTube)]]&gt;50000000,"Hit",IF([1]!musicmd[[#This Row],[Views (YouTube)]]&gt;10000000,"Average","Low"))</f>
        <v>Hit</v>
      </c>
      <c r="J66" s="10" t="str">
        <f>IF([1]!musicmd[[#This Row],[Views (YouTube)]]&gt;50000000,"High",IF([1]!musicmd[[#This Row],[Views (YouTube)]]&gt;10000000,"Medium","Low"))</f>
        <v>High</v>
      </c>
    </row>
    <row r="67" spans="1:10" ht="100.8" x14ac:dyDescent="0.3">
      <c r="A67" s="1" t="s">
        <v>296</v>
      </c>
      <c r="B67" s="2" t="s">
        <v>297</v>
      </c>
      <c r="C67" s="3" t="s">
        <v>298</v>
      </c>
      <c r="D67" s="2" t="s">
        <v>299</v>
      </c>
      <c r="E67" s="2">
        <v>2021</v>
      </c>
      <c r="F67" s="2" t="s">
        <v>234</v>
      </c>
      <c r="G67" s="2" t="s">
        <v>143</v>
      </c>
      <c r="H67" s="2" t="s">
        <v>300</v>
      </c>
      <c r="I67" s="4" t="str">
        <f>IF([1]!musicmd[[#This Row],[Views (YouTube)]]&gt;50000000,"Hit",IF([1]!musicmd[[#This Row],[Views (YouTube)]]&gt;10000000,"Average","Low"))</f>
        <v>Hit</v>
      </c>
      <c r="J67" s="5" t="str">
        <f>IF([1]!musicmd[[#This Row],[Views (YouTube)]]&gt;50000000,"High",IF([1]!musicmd[[#This Row],[Views (YouTube)]]&gt;10000000,"Medium","Low"))</f>
        <v>High</v>
      </c>
    </row>
    <row r="68" spans="1:10" x14ac:dyDescent="0.3">
      <c r="A68" s="6" t="s">
        <v>301</v>
      </c>
      <c r="B68" s="7" t="s">
        <v>302</v>
      </c>
      <c r="C68" s="7" t="s">
        <v>303</v>
      </c>
      <c r="D68" s="7" t="s">
        <v>299</v>
      </c>
      <c r="E68" s="7">
        <v>2021</v>
      </c>
      <c r="F68" s="7" t="s">
        <v>234</v>
      </c>
      <c r="G68" s="7" t="s">
        <v>10</v>
      </c>
      <c r="H68" s="7" t="s">
        <v>304</v>
      </c>
      <c r="I68" s="9" t="str">
        <f>IF([1]!musicmd[[#This Row],[Views (YouTube)]]&gt;50000000,"Hit",IF([1]!musicmd[[#This Row],[Views (YouTube)]]&gt;10000000,"Average","Low"))</f>
        <v>Hit</v>
      </c>
      <c r="J68" s="10" t="str">
        <f>IF([1]!musicmd[[#This Row],[Views (YouTube)]]&gt;50000000,"High",IF([1]!musicmd[[#This Row],[Views (YouTube)]]&gt;10000000,"Medium","Low"))</f>
        <v>High</v>
      </c>
    </row>
    <row r="69" spans="1:10" x14ac:dyDescent="0.3">
      <c r="A69" s="1" t="s">
        <v>305</v>
      </c>
      <c r="B69" s="2" t="s">
        <v>306</v>
      </c>
      <c r="C69" s="2" t="s">
        <v>307</v>
      </c>
      <c r="D69" s="2" t="s">
        <v>299</v>
      </c>
      <c r="E69" s="2">
        <v>2021</v>
      </c>
      <c r="F69" s="2" t="s">
        <v>234</v>
      </c>
      <c r="G69" s="2" t="s">
        <v>72</v>
      </c>
      <c r="H69" s="2" t="s">
        <v>308</v>
      </c>
      <c r="I69" s="4" t="str">
        <f>IF([1]!musicmd[[#This Row],[Views (YouTube)]]&gt;50000000,"Hit",IF([1]!musicmd[[#This Row],[Views (YouTube)]]&gt;10000000,"Average","Low"))</f>
        <v>Hit</v>
      </c>
      <c r="J69" s="5" t="str">
        <f>IF([1]!musicmd[[#This Row],[Views (YouTube)]]&gt;50000000,"High",IF([1]!musicmd[[#This Row],[Views (YouTube)]]&gt;10000000,"Medium","Low"))</f>
        <v>High</v>
      </c>
    </row>
    <row r="70" spans="1:10" x14ac:dyDescent="0.3">
      <c r="A70" s="6" t="s">
        <v>309</v>
      </c>
      <c r="B70" s="7" t="s">
        <v>310</v>
      </c>
      <c r="C70" s="7" t="s">
        <v>311</v>
      </c>
      <c r="D70" s="7" t="s">
        <v>312</v>
      </c>
      <c r="E70" s="7">
        <v>2024</v>
      </c>
      <c r="F70" s="7" t="s">
        <v>234</v>
      </c>
      <c r="G70" s="7" t="s">
        <v>10</v>
      </c>
      <c r="H70" s="7" t="s">
        <v>158</v>
      </c>
      <c r="I70" s="9" t="str">
        <f>IF([1]!musicmd[[#This Row],[Views (YouTube)]]&gt;50000000,"Hit",IF([1]!musicmd[[#This Row],[Views (YouTube)]]&gt;10000000,"Average","Low"))</f>
        <v>Hit</v>
      </c>
      <c r="J70" s="10" t="str">
        <f>IF([1]!musicmd[[#This Row],[Views (YouTube)]]&gt;50000000,"High",IF([1]!musicmd[[#This Row],[Views (YouTube)]]&gt;10000000,"Medium","Low"))</f>
        <v>High</v>
      </c>
    </row>
    <row r="71" spans="1:10" x14ac:dyDescent="0.3">
      <c r="A71" s="1" t="s">
        <v>313</v>
      </c>
      <c r="B71" s="2" t="s">
        <v>314</v>
      </c>
      <c r="C71" s="2" t="s">
        <v>315</v>
      </c>
      <c r="D71" s="2" t="s">
        <v>312</v>
      </c>
      <c r="E71" s="2">
        <v>2024</v>
      </c>
      <c r="F71" s="2" t="s">
        <v>234</v>
      </c>
      <c r="G71" s="2" t="s">
        <v>72</v>
      </c>
      <c r="H71" s="2" t="s">
        <v>316</v>
      </c>
      <c r="I71" s="4" t="str">
        <f>IF([1]!musicmd[[#This Row],[Views (YouTube)]]&gt;50000000,"Hit",IF([1]!musicmd[[#This Row],[Views (YouTube)]]&gt;10000000,"Average","Low"))</f>
        <v>Hit</v>
      </c>
      <c r="J71" s="5" t="str">
        <f>IF([1]!musicmd[[#This Row],[Views (YouTube)]]&gt;50000000,"High",IF([1]!musicmd[[#This Row],[Views (YouTube)]]&gt;10000000,"Medium","Low"))</f>
        <v>High</v>
      </c>
    </row>
    <row r="72" spans="1:10" ht="57.6" x14ac:dyDescent="0.3">
      <c r="A72" s="6" t="s">
        <v>317</v>
      </c>
      <c r="B72" s="7" t="s">
        <v>318</v>
      </c>
      <c r="C72" s="8" t="s">
        <v>319</v>
      </c>
      <c r="D72" s="7" t="s">
        <v>312</v>
      </c>
      <c r="E72" s="7">
        <v>2024</v>
      </c>
      <c r="F72" s="7" t="s">
        <v>234</v>
      </c>
      <c r="G72" s="7" t="s">
        <v>72</v>
      </c>
      <c r="H72" s="7" t="s">
        <v>320</v>
      </c>
      <c r="I72" s="9" t="str">
        <f>IF([1]!musicmd[[#This Row],[Views (YouTube)]]&gt;50000000,"Hit",IF([1]!musicmd[[#This Row],[Views (YouTube)]]&gt;10000000,"Average","Low"))</f>
        <v>Hit</v>
      </c>
      <c r="J72" s="10" t="str">
        <f>IF([1]!musicmd[[#This Row],[Views (YouTube)]]&gt;50000000,"High",IF([1]!musicmd[[#This Row],[Views (YouTube)]]&gt;10000000,"Medium","Low"))</f>
        <v>High</v>
      </c>
    </row>
    <row r="73" spans="1:10" ht="216" x14ac:dyDescent="0.3">
      <c r="A73" s="1" t="s">
        <v>321</v>
      </c>
      <c r="B73" s="2" t="s">
        <v>322</v>
      </c>
      <c r="C73" s="3" t="s">
        <v>323</v>
      </c>
      <c r="D73" s="2" t="s">
        <v>324</v>
      </c>
      <c r="E73" s="2">
        <v>2022</v>
      </c>
      <c r="F73" s="2" t="s">
        <v>234</v>
      </c>
      <c r="G73" s="2" t="s">
        <v>10</v>
      </c>
      <c r="H73" s="2" t="s">
        <v>325</v>
      </c>
      <c r="I73" s="4" t="str">
        <f>IF([1]!musicmd[[#This Row],[Views (YouTube)]]&gt;50000000,"Hit",IF([1]!musicmd[[#This Row],[Views (YouTube)]]&gt;10000000,"Average","Low"))</f>
        <v>Hit</v>
      </c>
      <c r="J73" s="5" t="str">
        <f>IF([1]!musicmd[[#This Row],[Views (YouTube)]]&gt;50000000,"High",IF([1]!musicmd[[#This Row],[Views (YouTube)]]&gt;10000000,"Medium","Low"))</f>
        <v>High</v>
      </c>
    </row>
    <row r="74" spans="1:10" ht="57.6" x14ac:dyDescent="0.3">
      <c r="A74" s="6" t="s">
        <v>326</v>
      </c>
      <c r="B74" s="7" t="s">
        <v>327</v>
      </c>
      <c r="C74" s="8" t="s">
        <v>328</v>
      </c>
      <c r="D74" s="7" t="s">
        <v>329</v>
      </c>
      <c r="E74" s="7">
        <v>2023</v>
      </c>
      <c r="F74" s="7" t="s">
        <v>234</v>
      </c>
      <c r="G74" s="7" t="s">
        <v>72</v>
      </c>
      <c r="H74" s="7" t="s">
        <v>330</v>
      </c>
      <c r="I74" s="9" t="str">
        <f>IF([1]!musicmd[[#This Row],[Views (YouTube)]]&gt;50000000,"Hit",IF([1]!musicmd[[#This Row],[Views (YouTube)]]&gt;10000000,"Average","Low"))</f>
        <v>Hit</v>
      </c>
      <c r="J74" s="10" t="str">
        <f>IF([1]!musicmd[[#This Row],[Views (YouTube)]]&gt;50000000,"High",IF([1]!musicmd[[#This Row],[Views (YouTube)]]&gt;10000000,"Medium","Low"))</f>
        <v>High</v>
      </c>
    </row>
    <row r="75" spans="1:10" x14ac:dyDescent="0.3">
      <c r="A75" s="1" t="s">
        <v>331</v>
      </c>
      <c r="B75" s="2" t="s">
        <v>332</v>
      </c>
      <c r="C75" s="2" t="s">
        <v>333</v>
      </c>
      <c r="D75" s="2" t="s">
        <v>334</v>
      </c>
      <c r="E75" s="2">
        <v>2016</v>
      </c>
      <c r="F75" s="2" t="s">
        <v>234</v>
      </c>
      <c r="G75" s="2" t="s">
        <v>109</v>
      </c>
      <c r="H75" s="2" t="s">
        <v>139</v>
      </c>
      <c r="I75" s="4" t="str">
        <f>IF([1]!musicmd[[#This Row],[Views (YouTube)]]&gt;50000000,"Hit",IF([1]!musicmd[[#This Row],[Views (YouTube)]]&gt;10000000,"Average","Low"))</f>
        <v>Hit</v>
      </c>
      <c r="J75" s="5" t="str">
        <f>IF([1]!musicmd[[#This Row],[Views (YouTube)]]&gt;50000000,"High",IF([1]!musicmd[[#This Row],[Views (YouTube)]]&gt;10000000,"Medium","Low"))</f>
        <v>High</v>
      </c>
    </row>
    <row r="76" spans="1:10" x14ac:dyDescent="0.3">
      <c r="A76" s="6" t="s">
        <v>335</v>
      </c>
      <c r="B76" s="7" t="s">
        <v>336</v>
      </c>
      <c r="C76" s="7" t="s">
        <v>337</v>
      </c>
      <c r="D76" s="7" t="s">
        <v>334</v>
      </c>
      <c r="E76" s="7">
        <v>2016</v>
      </c>
      <c r="F76" s="7" t="s">
        <v>234</v>
      </c>
      <c r="G76" s="7" t="s">
        <v>10</v>
      </c>
      <c r="H76" s="7" t="s">
        <v>338</v>
      </c>
      <c r="I76" s="9" t="str">
        <f>IF([1]!musicmd[[#This Row],[Views (YouTube)]]&gt;50000000,"Hit",IF([1]!musicmd[[#This Row],[Views (YouTube)]]&gt;10000000,"Average","Low"))</f>
        <v>Hit</v>
      </c>
      <c r="J76" s="10" t="str">
        <f>IF([1]!musicmd[[#This Row],[Views (YouTube)]]&gt;50000000,"High",IF([1]!musicmd[[#This Row],[Views (YouTube)]]&gt;10000000,"Medium","Low"))</f>
        <v>High</v>
      </c>
    </row>
    <row r="77" spans="1:10" ht="172.8" x14ac:dyDescent="0.3">
      <c r="A77" s="1" t="s">
        <v>339</v>
      </c>
      <c r="B77" s="2" t="s">
        <v>340</v>
      </c>
      <c r="C77" s="3" t="s">
        <v>341</v>
      </c>
      <c r="D77" s="2" t="s">
        <v>342</v>
      </c>
      <c r="E77" s="2">
        <v>2016</v>
      </c>
      <c r="F77" s="2" t="s">
        <v>234</v>
      </c>
      <c r="G77" s="2" t="s">
        <v>72</v>
      </c>
      <c r="H77" s="2" t="s">
        <v>110</v>
      </c>
      <c r="I77" s="4" t="str">
        <f>IF([1]!musicmd[[#This Row],[Views (YouTube)]]&gt;50000000,"Hit",IF([1]!musicmd[[#This Row],[Views (YouTube)]]&gt;10000000,"Average","Low"))</f>
        <v>Hit</v>
      </c>
      <c r="J77" s="5" t="str">
        <f>IF([1]!musicmd[[#This Row],[Views (YouTube)]]&gt;50000000,"High",IF([1]!musicmd[[#This Row],[Views (YouTube)]]&gt;10000000,"Medium","Low"))</f>
        <v>High</v>
      </c>
    </row>
    <row r="78" spans="1:10" ht="57.6" x14ac:dyDescent="0.3">
      <c r="A78" s="6" t="s">
        <v>343</v>
      </c>
      <c r="B78" s="7" t="s">
        <v>344</v>
      </c>
      <c r="C78" s="8" t="s">
        <v>345</v>
      </c>
      <c r="D78" s="7" t="s">
        <v>346</v>
      </c>
      <c r="E78" s="7">
        <v>2019</v>
      </c>
      <c r="F78" s="7" t="s">
        <v>234</v>
      </c>
      <c r="G78" s="7" t="s">
        <v>109</v>
      </c>
      <c r="H78" s="7" t="s">
        <v>347</v>
      </c>
      <c r="I78" s="9" t="str">
        <f>IF([1]!musicmd[[#This Row],[Views (YouTube)]]&gt;50000000,"Hit",IF([1]!musicmd[[#This Row],[Views (YouTube)]]&gt;10000000,"Average","Low"))</f>
        <v>Hit</v>
      </c>
      <c r="J78" s="10" t="str">
        <f>IF([1]!musicmd[[#This Row],[Views (YouTube)]]&gt;50000000,"High",IF([1]!musicmd[[#This Row],[Views (YouTube)]]&gt;10000000,"Medium","Low"))</f>
        <v>High</v>
      </c>
    </row>
    <row r="79" spans="1:10" ht="57.6" x14ac:dyDescent="0.3">
      <c r="A79" s="1" t="s">
        <v>348</v>
      </c>
      <c r="B79" s="2" t="s">
        <v>349</v>
      </c>
      <c r="C79" s="3" t="s">
        <v>350</v>
      </c>
      <c r="D79" s="2" t="s">
        <v>351</v>
      </c>
      <c r="E79" s="2">
        <v>2025</v>
      </c>
      <c r="F79" s="2" t="s">
        <v>234</v>
      </c>
      <c r="G79" s="2" t="s">
        <v>109</v>
      </c>
      <c r="H79" s="2" t="s">
        <v>352</v>
      </c>
      <c r="I79" s="4" t="str">
        <f>IF([1]!musicmd[[#This Row],[Views (YouTube)]]&gt;50000000,"Hit",IF([1]!musicmd[[#This Row],[Views (YouTube)]]&gt;10000000,"Average","Low"))</f>
        <v>Hit</v>
      </c>
      <c r="J79" s="5" t="str">
        <f>IF([1]!musicmd[[#This Row],[Views (YouTube)]]&gt;50000000,"High",IF([1]!musicmd[[#This Row],[Views (YouTube)]]&gt;10000000,"Medium","Low"))</f>
        <v>High</v>
      </c>
    </row>
    <row r="80" spans="1:10" ht="57.6" x14ac:dyDescent="0.3">
      <c r="A80" s="6" t="s">
        <v>353</v>
      </c>
      <c r="B80" s="7" t="s">
        <v>354</v>
      </c>
      <c r="C80" s="8" t="s">
        <v>328</v>
      </c>
      <c r="D80" s="7" t="s">
        <v>351</v>
      </c>
      <c r="E80" s="7">
        <v>2025</v>
      </c>
      <c r="F80" s="7" t="s">
        <v>234</v>
      </c>
      <c r="G80" s="7" t="s">
        <v>143</v>
      </c>
      <c r="H80" s="7" t="s">
        <v>355</v>
      </c>
      <c r="I80" s="9" t="str">
        <f>IF([1]!musicmd[[#This Row],[Views (YouTube)]]&gt;50000000,"Hit",IF([1]!musicmd[[#This Row],[Views (YouTube)]]&gt;10000000,"Average","Low"))</f>
        <v>Hit</v>
      </c>
      <c r="J80" s="10" t="str">
        <f>IF([1]!musicmd[[#This Row],[Views (YouTube)]]&gt;50000000,"High",IF([1]!musicmd[[#This Row],[Views (YouTube)]]&gt;10000000,"Medium","Low"))</f>
        <v>High</v>
      </c>
    </row>
    <row r="81" spans="1:10" ht="86.4" x14ac:dyDescent="0.3">
      <c r="A81" s="1" t="s">
        <v>356</v>
      </c>
      <c r="B81" s="2" t="s">
        <v>357</v>
      </c>
      <c r="C81" s="3" t="s">
        <v>358</v>
      </c>
      <c r="D81" s="2" t="s">
        <v>359</v>
      </c>
      <c r="E81" s="2">
        <v>2013</v>
      </c>
      <c r="F81" s="2" t="s">
        <v>234</v>
      </c>
      <c r="G81" s="2" t="s">
        <v>360</v>
      </c>
      <c r="H81" s="2" t="s">
        <v>104</v>
      </c>
      <c r="I81" s="4" t="str">
        <f>IF([1]!musicmd[[#This Row],[Views (YouTube)]]&gt;50000000,"Hit",IF([1]!musicmd[[#This Row],[Views (YouTube)]]&gt;10000000,"Average","Low"))</f>
        <v>Hit</v>
      </c>
      <c r="J81" s="5" t="str">
        <f>IF([1]!musicmd[[#This Row],[Views (YouTube)]]&gt;50000000,"High",IF([1]!musicmd[[#This Row],[Views (YouTube)]]&gt;10000000,"Medium","Low"))</f>
        <v>High</v>
      </c>
    </row>
    <row r="82" spans="1:10" ht="86.4" x14ac:dyDescent="0.3">
      <c r="A82" s="6" t="s">
        <v>361</v>
      </c>
      <c r="B82" s="7" t="s">
        <v>362</v>
      </c>
      <c r="C82" s="8" t="s">
        <v>363</v>
      </c>
      <c r="D82" s="7" t="s">
        <v>359</v>
      </c>
      <c r="E82" s="7">
        <v>2013</v>
      </c>
      <c r="F82" s="7" t="s">
        <v>234</v>
      </c>
      <c r="G82" s="7" t="s">
        <v>10</v>
      </c>
      <c r="H82" s="7" t="s">
        <v>116</v>
      </c>
      <c r="I82" s="9" t="str">
        <f>IF([1]!musicmd[[#This Row],[Views (YouTube)]]&gt;50000000,"Hit",IF([1]!musicmd[[#This Row],[Views (YouTube)]]&gt;10000000,"Average","Low"))</f>
        <v>Hit</v>
      </c>
      <c r="J82" s="10" t="str">
        <f>IF([1]!musicmd[[#This Row],[Views (YouTube)]]&gt;50000000,"High",IF([1]!musicmd[[#This Row],[Views (YouTube)]]&gt;10000000,"Medium","Low"))</f>
        <v>High</v>
      </c>
    </row>
    <row r="83" spans="1:10" ht="100.8" x14ac:dyDescent="0.3">
      <c r="A83" s="1" t="s">
        <v>364</v>
      </c>
      <c r="B83" s="2" t="s">
        <v>365</v>
      </c>
      <c r="C83" s="3" t="s">
        <v>366</v>
      </c>
      <c r="D83" s="2" t="s">
        <v>367</v>
      </c>
      <c r="E83" s="2">
        <v>2022</v>
      </c>
      <c r="F83" s="2" t="s">
        <v>234</v>
      </c>
      <c r="G83" s="2" t="s">
        <v>72</v>
      </c>
      <c r="H83" s="2" t="s">
        <v>368</v>
      </c>
      <c r="I83" s="4" t="str">
        <f>IF([1]!musicmd[[#This Row],[Views (YouTube)]]&gt;50000000,"Hit",IF([1]!musicmd[[#This Row],[Views (YouTube)]]&gt;10000000,"Average","Low"))</f>
        <v>Hit</v>
      </c>
      <c r="J83" s="5" t="str">
        <f>IF([1]!musicmd[[#This Row],[Views (YouTube)]]&gt;50000000,"High",IF([1]!musicmd[[#This Row],[Views (YouTube)]]&gt;10000000,"Medium","Low"))</f>
        <v>High</v>
      </c>
    </row>
    <row r="84" spans="1:10" ht="57.6" x14ac:dyDescent="0.3">
      <c r="A84" s="6" t="s">
        <v>369</v>
      </c>
      <c r="B84" s="7" t="s">
        <v>370</v>
      </c>
      <c r="C84" s="8" t="s">
        <v>371</v>
      </c>
      <c r="D84" s="7" t="s">
        <v>367</v>
      </c>
      <c r="E84" s="7">
        <v>2022</v>
      </c>
      <c r="F84" s="7" t="s">
        <v>234</v>
      </c>
      <c r="G84" s="7" t="s">
        <v>372</v>
      </c>
      <c r="H84" s="7" t="s">
        <v>373</v>
      </c>
      <c r="I84" s="9" t="str">
        <f>IF([1]!musicmd[[#This Row],[Views (YouTube)]]&gt;50000000,"Hit",IF([1]!musicmd[[#This Row],[Views (YouTube)]]&gt;10000000,"Average","Low"))</f>
        <v>Hit</v>
      </c>
      <c r="J84" s="10" t="str">
        <f>IF([1]!musicmd[[#This Row],[Views (YouTube)]]&gt;50000000,"High",IF([1]!musicmd[[#This Row],[Views (YouTube)]]&gt;10000000,"Medium","Low"))</f>
        <v>High</v>
      </c>
    </row>
    <row r="85" spans="1:10" ht="100.8" x14ac:dyDescent="0.3">
      <c r="A85" s="1" t="s">
        <v>374</v>
      </c>
      <c r="B85" s="2" t="s">
        <v>375</v>
      </c>
      <c r="C85" s="3" t="s">
        <v>366</v>
      </c>
      <c r="D85" s="2" t="s">
        <v>367</v>
      </c>
      <c r="E85" s="2">
        <v>2022</v>
      </c>
      <c r="F85" s="2" t="s">
        <v>234</v>
      </c>
      <c r="G85" s="2" t="s">
        <v>30</v>
      </c>
      <c r="H85" s="2" t="s">
        <v>376</v>
      </c>
      <c r="I85" s="4" t="str">
        <f>IF([1]!musicmd[[#This Row],[Views (YouTube)]]&gt;50000000,"Hit",IF([1]!musicmd[[#This Row],[Views (YouTube)]]&gt;10000000,"Average","Low"))</f>
        <v>Hit</v>
      </c>
      <c r="J85" s="5" t="str">
        <f>IF([1]!musicmd[[#This Row],[Views (YouTube)]]&gt;50000000,"High",IF([1]!musicmd[[#This Row],[Views (YouTube)]]&gt;10000000,"Medium","Low"))</f>
        <v>High</v>
      </c>
    </row>
    <row r="86" spans="1:10" ht="72" x14ac:dyDescent="0.3">
      <c r="A86" s="6" t="s">
        <v>377</v>
      </c>
      <c r="B86" s="7" t="s">
        <v>378</v>
      </c>
      <c r="C86" s="8" t="s">
        <v>379</v>
      </c>
      <c r="D86" s="7" t="s">
        <v>380</v>
      </c>
      <c r="E86" s="7">
        <v>2020</v>
      </c>
      <c r="F86" s="7" t="s">
        <v>234</v>
      </c>
      <c r="G86" s="7" t="s">
        <v>360</v>
      </c>
      <c r="H86" s="7" t="s">
        <v>381</v>
      </c>
      <c r="I86" s="9" t="str">
        <f>IF([1]!musicmd[[#This Row],[Views (YouTube)]]&gt;50000000,"Hit",IF([1]!musicmd[[#This Row],[Views (YouTube)]]&gt;10000000,"Average","Low"))</f>
        <v>Hit</v>
      </c>
      <c r="J86" s="10" t="str">
        <f>IF([1]!musicmd[[#This Row],[Views (YouTube)]]&gt;50000000,"High",IF([1]!musicmd[[#This Row],[Views (YouTube)]]&gt;10000000,"Medium","Low"))</f>
        <v>High</v>
      </c>
    </row>
    <row r="87" spans="1:10" x14ac:dyDescent="0.3">
      <c r="A87" s="1" t="s">
        <v>382</v>
      </c>
      <c r="B87" s="2" t="s">
        <v>383</v>
      </c>
      <c r="C87" s="2" t="s">
        <v>307</v>
      </c>
      <c r="D87" s="2" t="s">
        <v>384</v>
      </c>
      <c r="E87" s="2">
        <v>2019</v>
      </c>
      <c r="F87" s="2" t="s">
        <v>234</v>
      </c>
      <c r="G87" s="2" t="s">
        <v>72</v>
      </c>
      <c r="H87" s="2" t="s">
        <v>385</v>
      </c>
      <c r="I87" s="4" t="str">
        <f>IF([1]!musicmd[[#This Row],[Views (YouTube)]]&gt;50000000,"Hit",IF([1]!musicmd[[#This Row],[Views (YouTube)]]&gt;10000000,"Average","Low"))</f>
        <v>Hit</v>
      </c>
      <c r="J87" s="5" t="str">
        <f>IF([1]!musicmd[[#This Row],[Views (YouTube)]]&gt;50000000,"High",IF([1]!musicmd[[#This Row],[Views (YouTube)]]&gt;10000000,"Medium","Low"))</f>
        <v>High</v>
      </c>
    </row>
    <row r="88" spans="1:10" ht="158.4" x14ac:dyDescent="0.3">
      <c r="A88" s="6" t="s">
        <v>386</v>
      </c>
      <c r="B88" s="7" t="s">
        <v>387</v>
      </c>
      <c r="C88" s="8" t="s">
        <v>388</v>
      </c>
      <c r="D88" s="7" t="s">
        <v>384</v>
      </c>
      <c r="E88" s="7">
        <v>2019</v>
      </c>
      <c r="F88" s="7" t="s">
        <v>234</v>
      </c>
      <c r="G88" s="7" t="s">
        <v>389</v>
      </c>
      <c r="H88" s="7" t="s">
        <v>390</v>
      </c>
      <c r="I88" s="9" t="str">
        <f>IF([1]!musicmd[[#This Row],[Views (YouTube)]]&gt;50000000,"Hit",IF([1]!musicmd[[#This Row],[Views (YouTube)]]&gt;10000000,"Average","Low"))</f>
        <v>Hit</v>
      </c>
      <c r="J88" s="10" t="str">
        <f>IF([1]!musicmd[[#This Row],[Views (YouTube)]]&gt;50000000,"High",IF([1]!musicmd[[#This Row],[Views (YouTube)]]&gt;10000000,"Medium","Low"))</f>
        <v>High</v>
      </c>
    </row>
    <row r="89" spans="1:10" ht="216" x14ac:dyDescent="0.3">
      <c r="A89" s="1" t="s">
        <v>391</v>
      </c>
      <c r="B89" s="2" t="s">
        <v>392</v>
      </c>
      <c r="C89" s="3" t="s">
        <v>393</v>
      </c>
      <c r="D89" s="2" t="s">
        <v>258</v>
      </c>
      <c r="E89" s="2">
        <v>2022</v>
      </c>
      <c r="F89" s="2" t="s">
        <v>234</v>
      </c>
      <c r="G89" s="2" t="s">
        <v>360</v>
      </c>
      <c r="H89" s="2" t="s">
        <v>394</v>
      </c>
      <c r="I89" s="4" t="str">
        <f>IF([1]!musicmd[[#This Row],[Views (YouTube)]]&gt;50000000,"Hit",IF([1]!musicmd[[#This Row],[Views (YouTube)]]&gt;10000000,"Average","Low"))</f>
        <v>Hit</v>
      </c>
      <c r="J89" s="5" t="str">
        <f>IF([1]!musicmd[[#This Row],[Views (YouTube)]]&gt;50000000,"High",IF([1]!musicmd[[#This Row],[Views (YouTube)]]&gt;10000000,"Medium","Low"))</f>
        <v>High</v>
      </c>
    </row>
    <row r="90" spans="1:10" x14ac:dyDescent="0.3">
      <c r="A90" s="6" t="s">
        <v>395</v>
      </c>
      <c r="B90" s="7" t="s">
        <v>396</v>
      </c>
      <c r="C90" s="7" t="s">
        <v>397</v>
      </c>
      <c r="D90" s="7" t="s">
        <v>398</v>
      </c>
      <c r="E90" s="7">
        <v>2019</v>
      </c>
      <c r="F90" s="7" t="s">
        <v>234</v>
      </c>
      <c r="G90" s="7" t="s">
        <v>399</v>
      </c>
      <c r="H90" s="7" t="s">
        <v>400</v>
      </c>
      <c r="I90" s="9" t="str">
        <f>IF([1]!musicmd[[#This Row],[Views (YouTube)]]&gt;50000000,"Hit",IF([1]!musicmd[[#This Row],[Views (YouTube)]]&gt;10000000,"Average","Low"))</f>
        <v>Hit</v>
      </c>
      <c r="J90" s="10" t="str">
        <f>IF([1]!musicmd[[#This Row],[Views (YouTube)]]&gt;50000000,"High",IF([1]!musicmd[[#This Row],[Views (YouTube)]]&gt;10000000,"Medium","Low"))</f>
        <v>High</v>
      </c>
    </row>
    <row r="91" spans="1:10" x14ac:dyDescent="0.3">
      <c r="A91" s="1" t="s">
        <v>401</v>
      </c>
      <c r="B91" s="2" t="s">
        <v>402</v>
      </c>
      <c r="C91" s="2" t="s">
        <v>403</v>
      </c>
      <c r="D91" s="2" t="s">
        <v>404</v>
      </c>
      <c r="E91" s="2">
        <v>2014</v>
      </c>
      <c r="F91" s="2" t="s">
        <v>234</v>
      </c>
      <c r="G91" s="2" t="s">
        <v>372</v>
      </c>
      <c r="H91" s="2" t="s">
        <v>405</v>
      </c>
      <c r="I91" s="4" t="str">
        <f>IF([1]!musicmd[[#This Row],[Views (YouTube)]]&gt;50000000,"Hit",IF([1]!musicmd[[#This Row],[Views (YouTube)]]&gt;10000000,"Average","Low"))</f>
        <v>Hit</v>
      </c>
      <c r="J91" s="5" t="str">
        <f>IF([1]!musicmd[[#This Row],[Views (YouTube)]]&gt;50000000,"High",IF([1]!musicmd[[#This Row],[Views (YouTube)]]&gt;10000000,"Medium","Low"))</f>
        <v>High</v>
      </c>
    </row>
    <row r="92" spans="1:10" x14ac:dyDescent="0.3">
      <c r="A92" s="6" t="s">
        <v>406</v>
      </c>
      <c r="B92" s="7" t="s">
        <v>407</v>
      </c>
      <c r="C92" s="7" t="s">
        <v>408</v>
      </c>
      <c r="D92" s="7" t="s">
        <v>409</v>
      </c>
      <c r="E92" s="7">
        <v>2004</v>
      </c>
      <c r="F92" s="7" t="s">
        <v>234</v>
      </c>
      <c r="G92" s="7" t="s">
        <v>410</v>
      </c>
      <c r="H92" s="7" t="s">
        <v>411</v>
      </c>
      <c r="I92" s="9" t="str">
        <f>IF([1]!musicmd[[#This Row],[Views (YouTube)]]&gt;50000000,"Hit",IF([1]!musicmd[[#This Row],[Views (YouTube)]]&gt;10000000,"Average","Low"))</f>
        <v>Hit</v>
      </c>
      <c r="J92" s="10" t="str">
        <f>IF([1]!musicmd[[#This Row],[Views (YouTube)]]&gt;50000000,"High",IF([1]!musicmd[[#This Row],[Views (YouTube)]]&gt;10000000,"Medium","Low"))</f>
        <v>High</v>
      </c>
    </row>
    <row r="93" spans="1:10" ht="86.4" x14ac:dyDescent="0.3">
      <c r="A93" s="1" t="s">
        <v>412</v>
      </c>
      <c r="B93" s="2" t="s">
        <v>413</v>
      </c>
      <c r="C93" s="3" t="s">
        <v>414</v>
      </c>
      <c r="D93" s="2" t="s">
        <v>415</v>
      </c>
      <c r="E93" s="2">
        <v>2006</v>
      </c>
      <c r="F93" s="2" t="s">
        <v>234</v>
      </c>
      <c r="G93" s="2" t="s">
        <v>410</v>
      </c>
      <c r="H93" s="2" t="s">
        <v>416</v>
      </c>
      <c r="I93" s="4" t="str">
        <f>IF([1]!musicmd[[#This Row],[Views (YouTube)]]&gt;50000000,"Hit",IF([1]!musicmd[[#This Row],[Views (YouTube)]]&gt;10000000,"Average","Low"))</f>
        <v>Hit</v>
      </c>
      <c r="J93" s="5" t="str">
        <f>IF([1]!musicmd[[#This Row],[Views (YouTube)]]&gt;50000000,"High",IF([1]!musicmd[[#This Row],[Views (YouTube)]]&gt;10000000,"Medium","Low"))</f>
        <v>High</v>
      </c>
    </row>
    <row r="94" spans="1:10" x14ac:dyDescent="0.3">
      <c r="A94" s="6" t="s">
        <v>417</v>
      </c>
      <c r="B94" s="7" t="s">
        <v>418</v>
      </c>
      <c r="C94" s="7" t="s">
        <v>408</v>
      </c>
      <c r="D94" s="7" t="s">
        <v>415</v>
      </c>
      <c r="E94" s="7">
        <v>2006</v>
      </c>
      <c r="F94" s="7" t="s">
        <v>234</v>
      </c>
      <c r="G94" s="7" t="s">
        <v>419</v>
      </c>
      <c r="H94" s="7" t="s">
        <v>420</v>
      </c>
      <c r="I94" s="9" t="str">
        <f>IF([1]!musicmd[[#This Row],[Views (YouTube)]]&gt;50000000,"Hit",IF([1]!musicmd[[#This Row],[Views (YouTube)]]&gt;10000000,"Average","Low"))</f>
        <v>Hit</v>
      </c>
      <c r="J94" s="10" t="str">
        <f>IF([1]!musicmd[[#This Row],[Views (YouTube)]]&gt;50000000,"High",IF([1]!musicmd[[#This Row],[Views (YouTube)]]&gt;10000000,"Medium","Low"))</f>
        <v>High</v>
      </c>
    </row>
    <row r="95" spans="1:10" ht="216" x14ac:dyDescent="0.3">
      <c r="A95" s="1" t="s">
        <v>421</v>
      </c>
      <c r="B95" s="2" t="s">
        <v>422</v>
      </c>
      <c r="C95" s="3" t="s">
        <v>423</v>
      </c>
      <c r="D95" s="2" t="s">
        <v>424</v>
      </c>
      <c r="E95" s="2">
        <v>2025</v>
      </c>
      <c r="F95" s="2" t="s">
        <v>234</v>
      </c>
      <c r="G95" s="2" t="s">
        <v>425</v>
      </c>
      <c r="H95" s="2" t="s">
        <v>426</v>
      </c>
      <c r="I95" s="4" t="str">
        <f>IF([1]!musicmd[[#This Row],[Views (YouTube)]]&gt;50000000,"Hit",IF([1]!musicmd[[#This Row],[Views (YouTube)]]&gt;10000000,"Average","Low"))</f>
        <v>Hit</v>
      </c>
      <c r="J95" s="5" t="str">
        <f>IF([1]!musicmd[[#This Row],[Views (YouTube)]]&gt;50000000,"High",IF([1]!musicmd[[#This Row],[Views (YouTube)]]&gt;10000000,"Medium","Low"))</f>
        <v>High</v>
      </c>
    </row>
    <row r="96" spans="1:10" ht="86.4" x14ac:dyDescent="0.3">
      <c r="A96" s="6" t="s">
        <v>427</v>
      </c>
      <c r="B96" s="7" t="s">
        <v>428</v>
      </c>
      <c r="C96" s="8" t="s">
        <v>429</v>
      </c>
      <c r="D96" s="7" t="s">
        <v>424</v>
      </c>
      <c r="E96" s="7">
        <v>2025</v>
      </c>
      <c r="F96" s="7" t="s">
        <v>234</v>
      </c>
      <c r="G96" s="7" t="s">
        <v>419</v>
      </c>
      <c r="H96" s="7" t="s">
        <v>411</v>
      </c>
      <c r="I96" s="9" t="str">
        <f>IF([1]!musicmd[[#This Row],[Views (YouTube)]]&gt;50000000,"Hit",IF([1]!musicmd[[#This Row],[Views (YouTube)]]&gt;10000000,"Average","Low"))</f>
        <v>Hit</v>
      </c>
      <c r="J96" s="10" t="str">
        <f>IF([1]!musicmd[[#This Row],[Views (YouTube)]]&gt;50000000,"High",IF([1]!musicmd[[#This Row],[Views (YouTube)]]&gt;10000000,"Medium","Low"))</f>
        <v>High</v>
      </c>
    </row>
    <row r="97" spans="1:10" ht="115.2" x14ac:dyDescent="0.3">
      <c r="A97" s="1" t="s">
        <v>430</v>
      </c>
      <c r="B97" s="2" t="s">
        <v>431</v>
      </c>
      <c r="C97" s="3" t="s">
        <v>432</v>
      </c>
      <c r="D97" s="2" t="s">
        <v>424</v>
      </c>
      <c r="E97" s="2">
        <v>2025</v>
      </c>
      <c r="F97" s="2" t="s">
        <v>234</v>
      </c>
      <c r="G97" s="2" t="s">
        <v>72</v>
      </c>
      <c r="H97" s="2" t="s">
        <v>433</v>
      </c>
      <c r="I97" s="4" t="str">
        <f>IF([1]!musicmd[[#This Row],[Views (YouTube)]]&gt;50000000,"Hit",IF([1]!musicmd[[#This Row],[Views (YouTube)]]&gt;10000000,"Average","Low"))</f>
        <v>Hit</v>
      </c>
      <c r="J97" s="5" t="str">
        <f>IF([1]!musicmd[[#This Row],[Views (YouTube)]]&gt;50000000,"High",IF([1]!musicmd[[#This Row],[Views (YouTube)]]&gt;10000000,"Medium","Low"))</f>
        <v>High</v>
      </c>
    </row>
    <row r="98" spans="1:10" ht="129.6" x14ac:dyDescent="0.3">
      <c r="A98" s="6" t="s">
        <v>434</v>
      </c>
      <c r="B98" s="7" t="s">
        <v>435</v>
      </c>
      <c r="C98" s="8" t="s">
        <v>436</v>
      </c>
      <c r="D98" s="7" t="s">
        <v>435</v>
      </c>
      <c r="E98" s="7">
        <v>2021</v>
      </c>
      <c r="F98" s="7" t="s">
        <v>234</v>
      </c>
      <c r="G98" s="7" t="s">
        <v>115</v>
      </c>
      <c r="H98" s="7" t="s">
        <v>437</v>
      </c>
      <c r="I98" s="9" t="str">
        <f>IF([1]!musicmd[[#This Row],[Views (YouTube)]]&gt;50000000,"Hit",IF([1]!musicmd[[#This Row],[Views (YouTube)]]&gt;10000000,"Average","Low"))</f>
        <v>Hit</v>
      </c>
      <c r="J98" s="10" t="str">
        <f>IF([1]!musicmd[[#This Row],[Views (YouTube)]]&gt;50000000,"High",IF([1]!musicmd[[#This Row],[Views (YouTube)]]&gt;10000000,"Medium","Low"))</f>
        <v>High</v>
      </c>
    </row>
    <row r="99" spans="1:10" ht="115.2" x14ac:dyDescent="0.3">
      <c r="A99" s="1" t="s">
        <v>438</v>
      </c>
      <c r="B99" s="2" t="s">
        <v>439</v>
      </c>
      <c r="C99" s="3" t="s">
        <v>440</v>
      </c>
      <c r="D99" s="2" t="s">
        <v>441</v>
      </c>
      <c r="E99" s="2">
        <v>2025</v>
      </c>
      <c r="F99" s="2" t="s">
        <v>234</v>
      </c>
      <c r="G99" s="2" t="s">
        <v>360</v>
      </c>
      <c r="H99" s="2" t="s">
        <v>442</v>
      </c>
      <c r="I99" s="4" t="str">
        <f>IF([1]!musicmd[[#This Row],[Views (YouTube)]]&gt;50000000,"Hit",IF([1]!musicmd[[#This Row],[Views (YouTube)]]&gt;10000000,"Average","Low"))</f>
        <v>Hit</v>
      </c>
      <c r="J99" s="5" t="str">
        <f>IF([1]!musicmd[[#This Row],[Views (YouTube)]]&gt;50000000,"High",IF([1]!musicmd[[#This Row],[Views (YouTube)]]&gt;10000000,"Medium","Low"))</f>
        <v>High</v>
      </c>
    </row>
    <row r="100" spans="1:10" x14ac:dyDescent="0.3">
      <c r="A100" s="6" t="s">
        <v>443</v>
      </c>
      <c r="B100" s="7" t="s">
        <v>444</v>
      </c>
      <c r="C100" s="7" t="s">
        <v>445</v>
      </c>
      <c r="D100" s="7" t="s">
        <v>446</v>
      </c>
      <c r="E100" s="7">
        <v>2018</v>
      </c>
      <c r="F100" s="7" t="s">
        <v>234</v>
      </c>
      <c r="G100" s="7" t="s">
        <v>419</v>
      </c>
      <c r="H100" s="7" t="s">
        <v>447</v>
      </c>
      <c r="I100" s="9" t="str">
        <f>IF([1]!musicmd[[#This Row],[Views (YouTube)]]&gt;50000000,"Hit",IF([1]!musicmd[[#This Row],[Views (YouTube)]]&gt;10000000,"Average","Low"))</f>
        <v>Hit</v>
      </c>
      <c r="J100" s="10" t="str">
        <f>IF([1]!musicmd[[#This Row],[Views (YouTube)]]&gt;50000000,"High",IF([1]!musicmd[[#This Row],[Views (YouTube)]]&gt;10000000,"Medium","Low"))</f>
        <v>High</v>
      </c>
    </row>
    <row r="101" spans="1:10" x14ac:dyDescent="0.3">
      <c r="A101" s="1" t="s">
        <v>448</v>
      </c>
      <c r="B101" s="2" t="s">
        <v>449</v>
      </c>
      <c r="C101" s="2" t="s">
        <v>450</v>
      </c>
      <c r="D101" s="2" t="s">
        <v>446</v>
      </c>
      <c r="E101" s="2">
        <v>2018</v>
      </c>
      <c r="F101" s="2" t="s">
        <v>234</v>
      </c>
      <c r="G101" s="2" t="s">
        <v>72</v>
      </c>
      <c r="H101" s="2" t="s">
        <v>451</v>
      </c>
      <c r="I101" s="4" t="str">
        <f>IF([1]!musicmd[[#This Row],[Views (YouTube)]]&gt;50000000,"Hit",IF([1]!musicmd[[#This Row],[Views (YouTube)]]&gt;10000000,"Average","Low"))</f>
        <v>Hit</v>
      </c>
      <c r="J101" s="5" t="str">
        <f>IF([1]!musicmd[[#This Row],[Views (YouTube)]]&gt;50000000,"High",IF([1]!musicmd[[#This Row],[Views (YouTube)]]&gt;10000000,"Medium","Low"))</f>
        <v>High</v>
      </c>
    </row>
    <row r="102" spans="1:10" x14ac:dyDescent="0.3">
      <c r="A102" s="6" t="s">
        <v>452</v>
      </c>
      <c r="B102" s="7" t="s">
        <v>453</v>
      </c>
      <c r="C102" s="7" t="s">
        <v>454</v>
      </c>
      <c r="D102" s="7" t="s">
        <v>455</v>
      </c>
      <c r="E102" s="7">
        <v>2016</v>
      </c>
      <c r="F102" s="7" t="s">
        <v>234</v>
      </c>
      <c r="G102" s="7" t="s">
        <v>72</v>
      </c>
      <c r="H102" s="7" t="s">
        <v>456</v>
      </c>
      <c r="I102" s="9" t="str">
        <f>IF([1]!musicmd[[#This Row],[Views (YouTube)]]&gt;50000000,"Hit",IF([1]!musicmd[[#This Row],[Views (YouTube)]]&gt;10000000,"Average","Low"))</f>
        <v>Hit</v>
      </c>
      <c r="J102" s="10" t="str">
        <f>IF([1]!musicmd[[#This Row],[Views (YouTube)]]&gt;50000000,"High",IF([1]!musicmd[[#This Row],[Views (YouTube)]]&gt;10000000,"Medium","Low"))</f>
        <v>High</v>
      </c>
    </row>
    <row r="103" spans="1:10" ht="115.2" x14ac:dyDescent="0.3">
      <c r="A103" s="1" t="s">
        <v>457</v>
      </c>
      <c r="B103" s="2" t="s">
        <v>458</v>
      </c>
      <c r="C103" s="3" t="s">
        <v>459</v>
      </c>
      <c r="D103" s="2" t="s">
        <v>460</v>
      </c>
      <c r="E103" s="2">
        <v>2025</v>
      </c>
      <c r="F103" s="2" t="s">
        <v>461</v>
      </c>
      <c r="G103" s="2" t="s">
        <v>462</v>
      </c>
      <c r="H103" s="2" t="s">
        <v>463</v>
      </c>
      <c r="I103" s="4" t="str">
        <f>IF([1]!musicmd[[#This Row],[Views (YouTube)]]&gt;50000000,"Hit",IF([1]!musicmd[[#This Row],[Views (YouTube)]]&gt;10000000,"Average","Low"))</f>
        <v>Hit</v>
      </c>
      <c r="J103" s="5" t="str">
        <f>IF([1]!musicmd[[#This Row],[Views (YouTube)]]&gt;50000000,"High",IF([1]!musicmd[[#This Row],[Views (YouTube)]]&gt;10000000,"Medium","Low"))</f>
        <v>High</v>
      </c>
    </row>
    <row r="104" spans="1:10" ht="158.4" x14ac:dyDescent="0.3">
      <c r="A104" s="6" t="s">
        <v>464</v>
      </c>
      <c r="B104" s="7" t="s">
        <v>465</v>
      </c>
      <c r="C104" s="8" t="s">
        <v>466</v>
      </c>
      <c r="D104" s="7" t="s">
        <v>467</v>
      </c>
      <c r="E104" s="7">
        <v>2023</v>
      </c>
      <c r="F104" s="7" t="s">
        <v>461</v>
      </c>
      <c r="G104" s="7" t="s">
        <v>468</v>
      </c>
      <c r="H104" s="7" t="s">
        <v>469</v>
      </c>
      <c r="I104" s="9" t="str">
        <f>IF([1]!musicmd[[#This Row],[Views (YouTube)]]&gt;50000000,"Hit",IF([1]!musicmd[[#This Row],[Views (YouTube)]]&gt;10000000,"Average","Low"))</f>
        <v>Hit</v>
      </c>
      <c r="J104" s="10" t="str">
        <f>IF([1]!musicmd[[#This Row],[Views (YouTube)]]&gt;50000000,"High",IF([1]!musicmd[[#This Row],[Views (YouTube)]]&gt;10000000,"Medium","Low"))</f>
        <v>High</v>
      </c>
    </row>
    <row r="105" spans="1:10" ht="86.4" x14ac:dyDescent="0.3">
      <c r="A105" s="1" t="s">
        <v>470</v>
      </c>
      <c r="B105" s="2" t="s">
        <v>471</v>
      </c>
      <c r="C105" s="3" t="s">
        <v>472</v>
      </c>
      <c r="D105" s="2" t="s">
        <v>467</v>
      </c>
      <c r="E105" s="2">
        <v>2023</v>
      </c>
      <c r="F105" s="2" t="s">
        <v>461</v>
      </c>
      <c r="G105" s="2" t="s">
        <v>184</v>
      </c>
      <c r="H105" s="2" t="s">
        <v>473</v>
      </c>
      <c r="I105" s="4" t="str">
        <f>IF([1]!musicmd[[#This Row],[Views (YouTube)]]&gt;50000000,"Hit",IF([1]!musicmd[[#This Row],[Views (YouTube)]]&gt;10000000,"Average","Low"))</f>
        <v>Hit</v>
      </c>
      <c r="J105" s="5" t="str">
        <f>IF([1]!musicmd[[#This Row],[Views (YouTube)]]&gt;50000000,"High",IF([1]!musicmd[[#This Row],[Views (YouTube)]]&gt;10000000,"Medium","Low"))</f>
        <v>High</v>
      </c>
    </row>
    <row r="106" spans="1:10" ht="144" x14ac:dyDescent="0.3">
      <c r="A106" s="6" t="s">
        <v>474</v>
      </c>
      <c r="B106" s="7" t="s">
        <v>475</v>
      </c>
      <c r="C106" s="8" t="s">
        <v>476</v>
      </c>
      <c r="D106" s="7" t="s">
        <v>477</v>
      </c>
      <c r="E106" s="7">
        <v>2018</v>
      </c>
      <c r="F106" s="7" t="s">
        <v>461</v>
      </c>
      <c r="G106" s="7" t="s">
        <v>77</v>
      </c>
      <c r="H106" s="7" t="s">
        <v>478</v>
      </c>
      <c r="I106" s="9" t="str">
        <f>IF([1]!musicmd[[#This Row],[Views (YouTube)]]&gt;50000000,"Hit",IF([1]!musicmd[[#This Row],[Views (YouTube)]]&gt;10000000,"Average","Low"))</f>
        <v>Hit</v>
      </c>
      <c r="J106" s="10" t="str">
        <f>IF([1]!musicmd[[#This Row],[Views (YouTube)]]&gt;50000000,"High",IF([1]!musicmd[[#This Row],[Views (YouTube)]]&gt;10000000,"Medium","Low"))</f>
        <v>High</v>
      </c>
    </row>
    <row r="107" spans="1:10" ht="144" x14ac:dyDescent="0.3">
      <c r="A107" s="1" t="s">
        <v>479</v>
      </c>
      <c r="B107" s="2" t="s">
        <v>480</v>
      </c>
      <c r="C107" s="3" t="s">
        <v>481</v>
      </c>
      <c r="D107" s="2" t="s">
        <v>482</v>
      </c>
      <c r="E107" s="2">
        <v>2016</v>
      </c>
      <c r="F107" s="2" t="s">
        <v>461</v>
      </c>
      <c r="G107" s="2" t="s">
        <v>143</v>
      </c>
      <c r="H107" s="2" t="s">
        <v>483</v>
      </c>
      <c r="I107" s="4" t="str">
        <f>IF([1]!musicmd[[#This Row],[Views (YouTube)]]&gt;50000000,"Hit",IF([1]!musicmd[[#This Row],[Views (YouTube)]]&gt;10000000,"Average","Low"))</f>
        <v>Hit</v>
      </c>
      <c r="J107" s="5" t="str">
        <f>IF([1]!musicmd[[#This Row],[Views (YouTube)]]&gt;50000000,"High",IF([1]!musicmd[[#This Row],[Views (YouTube)]]&gt;10000000,"Medium","Low"))</f>
        <v>High</v>
      </c>
    </row>
    <row r="108" spans="1:10" x14ac:dyDescent="0.3">
      <c r="A108" s="6" t="s">
        <v>484</v>
      </c>
      <c r="B108" s="7" t="s">
        <v>485</v>
      </c>
      <c r="C108" s="7" t="s">
        <v>486</v>
      </c>
      <c r="D108" s="7" t="s">
        <v>482</v>
      </c>
      <c r="E108" s="7">
        <v>2016</v>
      </c>
      <c r="F108" s="7" t="s">
        <v>461</v>
      </c>
      <c r="G108" s="7" t="s">
        <v>487</v>
      </c>
      <c r="H108" s="7" t="s">
        <v>488</v>
      </c>
      <c r="I108" s="9" t="str">
        <f>IF([1]!musicmd[[#This Row],[Views (YouTube)]]&gt;50000000,"Hit",IF([1]!musicmd[[#This Row],[Views (YouTube)]]&gt;10000000,"Average","Low"))</f>
        <v>Hit</v>
      </c>
      <c r="J108" s="10" t="str">
        <f>IF([1]!musicmd[[#This Row],[Views (YouTube)]]&gt;50000000,"High",IF([1]!musicmd[[#This Row],[Views (YouTube)]]&gt;10000000,"Medium","Low"))</f>
        <v>High</v>
      </c>
    </row>
    <row r="109" spans="1:10" ht="129.6" x14ac:dyDescent="0.3">
      <c r="A109" s="1" t="s">
        <v>489</v>
      </c>
      <c r="B109" s="2" t="s">
        <v>490</v>
      </c>
      <c r="C109" s="3" t="s">
        <v>491</v>
      </c>
      <c r="D109" s="2" t="s">
        <v>482</v>
      </c>
      <c r="E109" s="2">
        <v>2016</v>
      </c>
      <c r="F109" s="2" t="s">
        <v>461</v>
      </c>
      <c r="G109" s="2" t="s">
        <v>72</v>
      </c>
      <c r="H109" s="2" t="s">
        <v>26</v>
      </c>
      <c r="I109" s="4" t="str">
        <f>IF([1]!musicmd[[#This Row],[Views (YouTube)]]&gt;50000000,"Hit",IF([1]!musicmd[[#This Row],[Views (YouTube)]]&gt;10000000,"Average","Low"))</f>
        <v>Hit</v>
      </c>
      <c r="J109" s="5" t="str">
        <f>IF([1]!musicmd[[#This Row],[Views (YouTube)]]&gt;50000000,"High",IF([1]!musicmd[[#This Row],[Views (YouTube)]]&gt;10000000,"Medium","Low"))</f>
        <v>High</v>
      </c>
    </row>
    <row r="110" spans="1:10" ht="172.8" x14ac:dyDescent="0.3">
      <c r="A110" s="6" t="s">
        <v>492</v>
      </c>
      <c r="B110" s="7" t="s">
        <v>493</v>
      </c>
      <c r="C110" s="8" t="s">
        <v>494</v>
      </c>
      <c r="D110" s="7" t="s">
        <v>482</v>
      </c>
      <c r="E110" s="7">
        <v>2016</v>
      </c>
      <c r="F110" s="7" t="s">
        <v>461</v>
      </c>
      <c r="G110" s="7" t="s">
        <v>72</v>
      </c>
      <c r="H110" s="7" t="s">
        <v>82</v>
      </c>
      <c r="I110" s="9" t="str">
        <f>IF([1]!musicmd[[#This Row],[Views (YouTube)]]&gt;50000000,"Hit",IF([1]!musicmd[[#This Row],[Views (YouTube)]]&gt;10000000,"Average","Low"))</f>
        <v>Hit</v>
      </c>
      <c r="J110" s="10" t="str">
        <f>IF([1]!musicmd[[#This Row],[Views (YouTube)]]&gt;50000000,"High",IF([1]!musicmd[[#This Row],[Views (YouTube)]]&gt;10000000,"Medium","Low"))</f>
        <v>High</v>
      </c>
    </row>
    <row r="111" spans="1:10" x14ac:dyDescent="0.3">
      <c r="A111" s="1" t="s">
        <v>495</v>
      </c>
      <c r="B111" s="2" t="s">
        <v>496</v>
      </c>
      <c r="C111" s="2" t="s">
        <v>497</v>
      </c>
      <c r="D111" s="2">
        <v>3</v>
      </c>
      <c r="E111" s="2">
        <v>2012</v>
      </c>
      <c r="F111" s="2" t="s">
        <v>461</v>
      </c>
      <c r="G111" s="2" t="s">
        <v>10</v>
      </c>
      <c r="H111" s="2" t="s">
        <v>498</v>
      </c>
      <c r="I111" s="4" t="str">
        <f>IF([1]!musicmd[[#This Row],[Views (YouTube)]]&gt;50000000,"Hit",IF([1]!musicmd[[#This Row],[Views (YouTube)]]&gt;10000000,"Average","Low"))</f>
        <v>Hit</v>
      </c>
      <c r="J111" s="5" t="str">
        <f>IF([1]!musicmd[[#This Row],[Views (YouTube)]]&gt;50000000,"High",IF([1]!musicmd[[#This Row],[Views (YouTube)]]&gt;10000000,"Medium","Low"))</f>
        <v>High</v>
      </c>
    </row>
    <row r="112" spans="1:10" ht="129.6" x14ac:dyDescent="0.3">
      <c r="A112" s="6" t="s">
        <v>499</v>
      </c>
      <c r="B112" s="7" t="s">
        <v>500</v>
      </c>
      <c r="C112" s="8" t="s">
        <v>501</v>
      </c>
      <c r="D112" s="7" t="s">
        <v>502</v>
      </c>
      <c r="E112" s="7">
        <v>2011</v>
      </c>
      <c r="F112" s="7" t="s">
        <v>461</v>
      </c>
      <c r="G112" s="7" t="s">
        <v>77</v>
      </c>
      <c r="H112" s="7" t="s">
        <v>158</v>
      </c>
      <c r="I112" s="9" t="str">
        <f>IF([1]!musicmd[[#This Row],[Views (YouTube)]]&gt;50000000,"Hit",IF([1]!musicmd[[#This Row],[Views (YouTube)]]&gt;10000000,"Average","Low"))</f>
        <v>Hit</v>
      </c>
      <c r="J112" s="10" t="str">
        <f>IF([1]!musicmd[[#This Row],[Views (YouTube)]]&gt;50000000,"High",IF([1]!musicmd[[#This Row],[Views (YouTube)]]&gt;10000000,"Medium","Low"))</f>
        <v>High</v>
      </c>
    </row>
    <row r="113" spans="1:10" ht="100.8" x14ac:dyDescent="0.3">
      <c r="A113" s="1" t="s">
        <v>503</v>
      </c>
      <c r="B113" s="2" t="s">
        <v>504</v>
      </c>
      <c r="C113" s="3" t="s">
        <v>505</v>
      </c>
      <c r="D113" s="2" t="s">
        <v>502</v>
      </c>
      <c r="E113" s="2">
        <v>2011</v>
      </c>
      <c r="F113" s="2" t="s">
        <v>461</v>
      </c>
      <c r="G113" s="2" t="s">
        <v>72</v>
      </c>
      <c r="H113" s="2" t="s">
        <v>506</v>
      </c>
      <c r="I113" s="4" t="str">
        <f>IF([1]!musicmd[[#This Row],[Views (YouTube)]]&gt;50000000,"Hit",IF([1]!musicmd[[#This Row],[Views (YouTube)]]&gt;10000000,"Average","Low"))</f>
        <v>Hit</v>
      </c>
      <c r="J113" s="5" t="str">
        <f>IF([1]!musicmd[[#This Row],[Views (YouTube)]]&gt;50000000,"High",IF([1]!musicmd[[#This Row],[Views (YouTube)]]&gt;10000000,"Medium","Low"))</f>
        <v>High</v>
      </c>
    </row>
    <row r="114" spans="1:10" ht="172.8" x14ac:dyDescent="0.3">
      <c r="A114" s="6" t="s">
        <v>507</v>
      </c>
      <c r="B114" s="7" t="s">
        <v>75</v>
      </c>
      <c r="C114" s="8" t="s">
        <v>508</v>
      </c>
      <c r="D114" s="7" t="s">
        <v>502</v>
      </c>
      <c r="E114" s="7">
        <v>2011</v>
      </c>
      <c r="F114" s="7" t="s">
        <v>461</v>
      </c>
      <c r="G114" s="7" t="s">
        <v>77</v>
      </c>
      <c r="H114" s="7" t="s">
        <v>509</v>
      </c>
      <c r="I114" s="9" t="str">
        <f>IF([1]!musicmd[[#This Row],[Views (YouTube)]]&gt;50000000,"Hit",IF([1]!musicmd[[#This Row],[Views (YouTube)]]&gt;10000000,"Average","Low"))</f>
        <v>Hit</v>
      </c>
      <c r="J114" s="10" t="str">
        <f>IF([1]!musicmd[[#This Row],[Views (YouTube)]]&gt;50000000,"High",IF([1]!musicmd[[#This Row],[Views (YouTube)]]&gt;10000000,"Medium","Low"))</f>
        <v>High</v>
      </c>
    </row>
    <row r="115" spans="1:10" ht="129.6" x14ac:dyDescent="0.3">
      <c r="A115" s="1" t="s">
        <v>510</v>
      </c>
      <c r="B115" s="2" t="s">
        <v>511</v>
      </c>
      <c r="C115" s="3" t="s">
        <v>512</v>
      </c>
      <c r="D115" s="2" t="s">
        <v>513</v>
      </c>
      <c r="E115" s="2">
        <v>2009</v>
      </c>
      <c r="F115" s="2" t="s">
        <v>461</v>
      </c>
      <c r="G115" s="2" t="s">
        <v>143</v>
      </c>
      <c r="H115" s="2" t="s">
        <v>514</v>
      </c>
      <c r="I115" s="4" t="str">
        <f>IF([1]!musicmd[[#This Row],[Views (YouTube)]]&gt;50000000,"Hit",IF([1]!musicmd[[#This Row],[Views (YouTube)]]&gt;10000000,"Average","Low"))</f>
        <v>Hit</v>
      </c>
      <c r="J115" s="5" t="str">
        <f>IF([1]!musicmd[[#This Row],[Views (YouTube)]]&gt;50000000,"High",IF([1]!musicmd[[#This Row],[Views (YouTube)]]&gt;10000000,"Medium","Low"))</f>
        <v>High</v>
      </c>
    </row>
    <row r="116" spans="1:10" ht="100.8" x14ac:dyDescent="0.3">
      <c r="A116" s="6" t="s">
        <v>515</v>
      </c>
      <c r="B116" s="7" t="s">
        <v>516</v>
      </c>
      <c r="C116" s="8" t="s">
        <v>517</v>
      </c>
      <c r="D116" s="7" t="s">
        <v>513</v>
      </c>
      <c r="E116" s="7">
        <v>2009</v>
      </c>
      <c r="F116" s="7" t="s">
        <v>461</v>
      </c>
      <c r="G116" s="7" t="s">
        <v>518</v>
      </c>
      <c r="H116" s="7" t="s">
        <v>519</v>
      </c>
      <c r="I116" s="9" t="str">
        <f>IF([1]!musicmd[[#This Row],[Views (YouTube)]]&gt;50000000,"Hit",IF([1]!musicmd[[#This Row],[Views (YouTube)]]&gt;10000000,"Average","Low"))</f>
        <v>Hit</v>
      </c>
      <c r="J116" s="10" t="str">
        <f>IF([1]!musicmd[[#This Row],[Views (YouTube)]]&gt;50000000,"High",IF([1]!musicmd[[#This Row],[Views (YouTube)]]&gt;10000000,"Medium","Low"))</f>
        <v>High</v>
      </c>
    </row>
    <row r="117" spans="1:10" ht="129.6" x14ac:dyDescent="0.3">
      <c r="A117" s="1" t="s">
        <v>520</v>
      </c>
      <c r="B117" s="2" t="s">
        <v>521</v>
      </c>
      <c r="C117" s="3" t="s">
        <v>522</v>
      </c>
      <c r="D117" s="2" t="s">
        <v>513</v>
      </c>
      <c r="E117" s="2">
        <v>2009</v>
      </c>
      <c r="F117" s="2" t="s">
        <v>461</v>
      </c>
      <c r="G117" s="2" t="s">
        <v>10</v>
      </c>
      <c r="H117" s="2" t="s">
        <v>523</v>
      </c>
      <c r="I117" s="4" t="str">
        <f>IF([1]!musicmd[[#This Row],[Views (YouTube)]]&gt;50000000,"Hit",IF([1]!musicmd[[#This Row],[Views (YouTube)]]&gt;10000000,"Average","Low"))</f>
        <v>Hit</v>
      </c>
      <c r="J117" s="5" t="str">
        <f>IF([1]!musicmd[[#This Row],[Views (YouTube)]]&gt;50000000,"High",IF([1]!musicmd[[#This Row],[Views (YouTube)]]&gt;10000000,"Medium","Low"))</f>
        <v>High</v>
      </c>
    </row>
    <row r="118" spans="1:10" ht="144" x14ac:dyDescent="0.3">
      <c r="A118" s="6" t="s">
        <v>524</v>
      </c>
      <c r="B118" s="7" t="s">
        <v>525</v>
      </c>
      <c r="C118" s="8" t="s">
        <v>526</v>
      </c>
      <c r="D118" s="7" t="s">
        <v>513</v>
      </c>
      <c r="E118" s="7">
        <v>2009</v>
      </c>
      <c r="F118" s="7" t="s">
        <v>461</v>
      </c>
      <c r="G118" s="7" t="s">
        <v>72</v>
      </c>
      <c r="H118" s="7" t="s">
        <v>82</v>
      </c>
      <c r="I118" s="9" t="str">
        <f>IF([1]!musicmd[[#This Row],[Views (YouTube)]]&gt;50000000,"Hit",IF([1]!musicmd[[#This Row],[Views (YouTube)]]&gt;10000000,"Average","Low"))</f>
        <v>Hit</v>
      </c>
      <c r="J118" s="10" t="str">
        <f>IF([1]!musicmd[[#This Row],[Views (YouTube)]]&gt;50000000,"High",IF([1]!musicmd[[#This Row],[Views (YouTube)]]&gt;10000000,"Medium","Low"))</f>
        <v>High</v>
      </c>
    </row>
    <row r="119" spans="1:10" ht="129.6" x14ac:dyDescent="0.3">
      <c r="A119" s="1" t="s">
        <v>527</v>
      </c>
      <c r="B119" s="2" t="s">
        <v>528</v>
      </c>
      <c r="C119" s="3" t="s">
        <v>529</v>
      </c>
      <c r="D119" s="2" t="s">
        <v>530</v>
      </c>
      <c r="E119" s="2">
        <v>2015</v>
      </c>
      <c r="F119" s="2" t="s">
        <v>461</v>
      </c>
      <c r="G119" s="2" t="s">
        <v>143</v>
      </c>
      <c r="H119" s="2" t="s">
        <v>171</v>
      </c>
      <c r="I119" s="4" t="str">
        <f>IF([1]!musicmd[[#This Row],[Views (YouTube)]]&gt;50000000,"Hit",IF([1]!musicmd[[#This Row],[Views (YouTube)]]&gt;10000000,"Average","Low"))</f>
        <v>Hit</v>
      </c>
      <c r="J119" s="5" t="str">
        <f>IF([1]!musicmd[[#This Row],[Views (YouTube)]]&gt;50000000,"High",IF([1]!musicmd[[#This Row],[Views (YouTube)]]&gt;10000000,"Medium","Low"))</f>
        <v>High</v>
      </c>
    </row>
    <row r="120" spans="1:10" ht="129.6" x14ac:dyDescent="0.3">
      <c r="A120" s="6" t="s">
        <v>531</v>
      </c>
      <c r="B120" s="7" t="s">
        <v>532</v>
      </c>
      <c r="C120" s="8" t="s">
        <v>533</v>
      </c>
      <c r="D120" s="7" t="s">
        <v>530</v>
      </c>
      <c r="E120" s="7">
        <v>2015</v>
      </c>
      <c r="F120" s="7" t="s">
        <v>461</v>
      </c>
      <c r="G120" s="7" t="s">
        <v>48</v>
      </c>
      <c r="H120" s="7" t="s">
        <v>189</v>
      </c>
      <c r="I120" s="9" t="str">
        <f>IF([1]!musicmd[[#This Row],[Views (YouTube)]]&gt;50000000,"Hit",IF([1]!musicmd[[#This Row],[Views (YouTube)]]&gt;10000000,"Average","Low"))</f>
        <v>Hit</v>
      </c>
      <c r="J120" s="10" t="str">
        <f>IF([1]!musicmd[[#This Row],[Views (YouTube)]]&gt;50000000,"High",IF([1]!musicmd[[#This Row],[Views (YouTube)]]&gt;10000000,"Medium","Low"))</f>
        <v>High</v>
      </c>
    </row>
    <row r="121" spans="1:10" x14ac:dyDescent="0.3">
      <c r="A121" s="1" t="s">
        <v>534</v>
      </c>
      <c r="B121" s="2" t="s">
        <v>535</v>
      </c>
      <c r="C121" s="2" t="s">
        <v>536</v>
      </c>
      <c r="D121" s="2" t="s">
        <v>530</v>
      </c>
      <c r="E121" s="2">
        <v>2015</v>
      </c>
      <c r="F121" s="2" t="s">
        <v>461</v>
      </c>
      <c r="G121" s="2" t="s">
        <v>518</v>
      </c>
      <c r="H121" s="2" t="s">
        <v>478</v>
      </c>
      <c r="I121" s="4" t="str">
        <f>IF([1]!musicmd[[#This Row],[Views (YouTube)]]&gt;50000000,"Hit",IF([1]!musicmd[[#This Row],[Views (YouTube)]]&gt;10000000,"Average","Low"))</f>
        <v>Hit</v>
      </c>
      <c r="J121" s="5" t="str">
        <f>IF([1]!musicmd[[#This Row],[Views (YouTube)]]&gt;50000000,"High",IF([1]!musicmd[[#This Row],[Views (YouTube)]]&gt;10000000,"Medium","Low"))</f>
        <v>High</v>
      </c>
    </row>
    <row r="122" spans="1:10" ht="100.8" x14ac:dyDescent="0.3">
      <c r="A122" s="6" t="s">
        <v>537</v>
      </c>
      <c r="B122" s="7" t="s">
        <v>538</v>
      </c>
      <c r="C122" s="8" t="s">
        <v>539</v>
      </c>
      <c r="D122" s="7" t="s">
        <v>540</v>
      </c>
      <c r="E122" s="7">
        <v>2022</v>
      </c>
      <c r="F122" s="7" t="s">
        <v>461</v>
      </c>
      <c r="G122" s="7" t="s">
        <v>518</v>
      </c>
      <c r="H122" s="7" t="s">
        <v>541</v>
      </c>
      <c r="I122" s="9" t="str">
        <f>IF([1]!musicmd[[#This Row],[Views (YouTube)]]&gt;50000000,"Hit",IF([1]!musicmd[[#This Row],[Views (YouTube)]]&gt;10000000,"Average","Low"))</f>
        <v>Hit</v>
      </c>
      <c r="J122" s="10" t="str">
        <f>IF([1]!musicmd[[#This Row],[Views (YouTube)]]&gt;50000000,"High",IF([1]!musicmd[[#This Row],[Views (YouTube)]]&gt;10000000,"Medium","Low"))</f>
        <v>High</v>
      </c>
    </row>
    <row r="123" spans="1:10" x14ac:dyDescent="0.3">
      <c r="A123" s="1" t="s">
        <v>542</v>
      </c>
      <c r="B123" s="2" t="s">
        <v>543</v>
      </c>
      <c r="C123" s="2" t="s">
        <v>544</v>
      </c>
      <c r="D123" s="2" t="s">
        <v>47</v>
      </c>
      <c r="E123" s="2">
        <v>2021</v>
      </c>
      <c r="F123" s="2" t="s">
        <v>461</v>
      </c>
      <c r="G123" s="2" t="s">
        <v>419</v>
      </c>
      <c r="H123" s="2" t="s">
        <v>545</v>
      </c>
      <c r="I123" s="4" t="str">
        <f>IF([1]!musicmd[[#This Row],[Views (YouTube)]]&gt;50000000,"Hit",IF([1]!musicmd[[#This Row],[Views (YouTube)]]&gt;10000000,"Average","Low"))</f>
        <v>Hit</v>
      </c>
      <c r="J123" s="5" t="str">
        <f>IF([1]!musicmd[[#This Row],[Views (YouTube)]]&gt;50000000,"High",IF([1]!musicmd[[#This Row],[Views (YouTube)]]&gt;10000000,"Medium","Low"))</f>
        <v>High</v>
      </c>
    </row>
    <row r="124" spans="1:10" x14ac:dyDescent="0.3">
      <c r="A124" s="6" t="s">
        <v>546</v>
      </c>
      <c r="B124" s="7" t="s">
        <v>547</v>
      </c>
      <c r="C124" s="7" t="s">
        <v>548</v>
      </c>
      <c r="D124" s="7" t="s">
        <v>549</v>
      </c>
      <c r="E124" s="7">
        <v>2022</v>
      </c>
      <c r="F124" s="7" t="s">
        <v>461</v>
      </c>
      <c r="G124" s="7" t="s">
        <v>10</v>
      </c>
      <c r="H124" s="7" t="s">
        <v>550</v>
      </c>
      <c r="I124" s="9" t="str">
        <f>IF([1]!musicmd[[#This Row],[Views (YouTube)]]&gt;50000000,"Hit",IF([1]!musicmd[[#This Row],[Views (YouTube)]]&gt;10000000,"Average","Low"))</f>
        <v>Hit</v>
      </c>
      <c r="J124" s="10" t="str">
        <f>IF([1]!musicmd[[#This Row],[Views (YouTube)]]&gt;50000000,"High",IF([1]!musicmd[[#This Row],[Views (YouTube)]]&gt;10000000,"Medium","Low"))</f>
        <v>High</v>
      </c>
    </row>
    <row r="125" spans="1:10" ht="115.2" x14ac:dyDescent="0.3">
      <c r="A125" s="1" t="s">
        <v>551</v>
      </c>
      <c r="B125" s="2" t="s">
        <v>552</v>
      </c>
      <c r="C125" s="3" t="s">
        <v>553</v>
      </c>
      <c r="D125" s="2" t="s">
        <v>554</v>
      </c>
      <c r="E125" s="2">
        <v>2023</v>
      </c>
      <c r="F125" s="2" t="s">
        <v>461</v>
      </c>
      <c r="G125" s="2" t="s">
        <v>143</v>
      </c>
      <c r="H125" s="2" t="s">
        <v>555</v>
      </c>
      <c r="I125" s="4" t="str">
        <f>IF([1]!musicmd[[#This Row],[Views (YouTube)]]&gt;50000000,"Hit",IF([1]!musicmd[[#This Row],[Views (YouTube)]]&gt;10000000,"Average","Low"))</f>
        <v>Hit</v>
      </c>
      <c r="J125" s="5" t="str">
        <f>IF([1]!musicmd[[#This Row],[Views (YouTube)]]&gt;50000000,"High",IF([1]!musicmd[[#This Row],[Views (YouTube)]]&gt;10000000,"Medium","Low"))</f>
        <v>High</v>
      </c>
    </row>
    <row r="126" spans="1:10" ht="115.2" x14ac:dyDescent="0.3">
      <c r="A126" s="6" t="s">
        <v>556</v>
      </c>
      <c r="B126" s="7" t="s">
        <v>557</v>
      </c>
      <c r="C126" s="8" t="s">
        <v>558</v>
      </c>
      <c r="D126" s="7" t="s">
        <v>554</v>
      </c>
      <c r="E126" s="7">
        <v>2023</v>
      </c>
      <c r="F126" s="7" t="s">
        <v>461</v>
      </c>
      <c r="G126" s="7" t="s">
        <v>419</v>
      </c>
      <c r="H126" s="7" t="s">
        <v>559</v>
      </c>
      <c r="I126" s="9" t="str">
        <f>IF([1]!musicmd[[#This Row],[Views (YouTube)]]&gt;50000000,"Hit",IF([1]!musicmd[[#This Row],[Views (YouTube)]]&gt;10000000,"Average","Low"))</f>
        <v>Hit</v>
      </c>
      <c r="J126" s="10" t="str">
        <f>IF([1]!musicmd[[#This Row],[Views (YouTube)]]&gt;50000000,"High",IF([1]!musicmd[[#This Row],[Views (YouTube)]]&gt;10000000,"Medium","Low"))</f>
        <v>High</v>
      </c>
    </row>
    <row r="127" spans="1:10" x14ac:dyDescent="0.3">
      <c r="A127" s="1" t="s">
        <v>560</v>
      </c>
      <c r="B127" s="2" t="s">
        <v>561</v>
      </c>
      <c r="C127" s="2" t="s">
        <v>562</v>
      </c>
      <c r="D127" s="2" t="s">
        <v>554</v>
      </c>
      <c r="E127" s="2">
        <v>2023</v>
      </c>
      <c r="F127" s="2" t="s">
        <v>461</v>
      </c>
      <c r="G127" s="2" t="s">
        <v>43</v>
      </c>
      <c r="H127" s="2" t="s">
        <v>563</v>
      </c>
      <c r="I127" s="4" t="str">
        <f>IF([1]!musicmd[[#This Row],[Views (YouTube)]]&gt;50000000,"Hit",IF([1]!musicmd[[#This Row],[Views (YouTube)]]&gt;10000000,"Average","Low"))</f>
        <v>Hit</v>
      </c>
      <c r="J127" s="5" t="str">
        <f>IF([1]!musicmd[[#This Row],[Views (YouTube)]]&gt;50000000,"High",IF([1]!musicmd[[#This Row],[Views (YouTube)]]&gt;10000000,"Medium","Low"))</f>
        <v>High</v>
      </c>
    </row>
    <row r="128" spans="1:10" ht="115.2" x14ac:dyDescent="0.3">
      <c r="A128" s="6" t="s">
        <v>564</v>
      </c>
      <c r="B128" s="7" t="s">
        <v>565</v>
      </c>
      <c r="C128" s="8" t="s">
        <v>566</v>
      </c>
      <c r="D128" s="7" t="s">
        <v>567</v>
      </c>
      <c r="E128" s="7">
        <v>2014</v>
      </c>
      <c r="F128" s="7" t="s">
        <v>461</v>
      </c>
      <c r="G128" s="7" t="s">
        <v>10</v>
      </c>
      <c r="H128" s="7" t="s">
        <v>568</v>
      </c>
      <c r="I128" s="9" t="str">
        <f>IF([1]!musicmd[[#This Row],[Views (YouTube)]]&gt;50000000,"Hit",IF([1]!musicmd[[#This Row],[Views (YouTube)]]&gt;10000000,"Average","Low"))</f>
        <v>Hit</v>
      </c>
      <c r="J128" s="10" t="str">
        <f>IF([1]!musicmd[[#This Row],[Views (YouTube)]]&gt;50000000,"High",IF([1]!musicmd[[#This Row],[Views (YouTube)]]&gt;10000000,"Medium","Low"))</f>
        <v>High</v>
      </c>
    </row>
    <row r="129" spans="1:10" ht="158.4" x14ac:dyDescent="0.3">
      <c r="A129" s="1" t="s">
        <v>569</v>
      </c>
      <c r="B129" s="2" t="s">
        <v>570</v>
      </c>
      <c r="C129" s="3" t="s">
        <v>571</v>
      </c>
      <c r="D129" s="2" t="s">
        <v>572</v>
      </c>
      <c r="E129" s="2">
        <v>2024</v>
      </c>
      <c r="F129" s="2" t="s">
        <v>461</v>
      </c>
      <c r="G129" s="2" t="s">
        <v>419</v>
      </c>
      <c r="H129" s="2" t="s">
        <v>573</v>
      </c>
      <c r="I129" s="4" t="str">
        <f>IF([1]!musicmd[[#This Row],[Views (YouTube)]]&gt;50000000,"Hit",IF([1]!musicmd[[#This Row],[Views (YouTube)]]&gt;10000000,"Average","Low"))</f>
        <v>Hit</v>
      </c>
      <c r="J129" s="5" t="str">
        <f>IF([1]!musicmd[[#This Row],[Views (YouTube)]]&gt;50000000,"High",IF([1]!musicmd[[#This Row],[Views (YouTube)]]&gt;10000000,"Medium","Low"))</f>
        <v>High</v>
      </c>
    </row>
    <row r="130" spans="1:10" ht="100.8" x14ac:dyDescent="0.3">
      <c r="A130" s="6" t="s">
        <v>574</v>
      </c>
      <c r="B130" s="7" t="s">
        <v>575</v>
      </c>
      <c r="C130" s="8" t="s">
        <v>576</v>
      </c>
      <c r="D130" s="7" t="s">
        <v>577</v>
      </c>
      <c r="E130" s="7">
        <v>2017</v>
      </c>
      <c r="F130" s="7" t="s">
        <v>461</v>
      </c>
      <c r="G130" s="7" t="s">
        <v>143</v>
      </c>
      <c r="H130" s="7" t="s">
        <v>578</v>
      </c>
      <c r="I130" s="9" t="str">
        <f>IF([1]!musicmd[[#This Row],[Views (YouTube)]]&gt;50000000,"Hit",IF([1]!musicmd[[#This Row],[Views (YouTube)]]&gt;10000000,"Average","Low"))</f>
        <v>Hit</v>
      </c>
      <c r="J130" s="10" t="str">
        <f>IF([1]!musicmd[[#This Row],[Views (YouTube)]]&gt;50000000,"High",IF([1]!musicmd[[#This Row],[Views (YouTube)]]&gt;10000000,"Medium","Low"))</f>
        <v>High</v>
      </c>
    </row>
    <row r="131" spans="1:10" ht="86.4" x14ac:dyDescent="0.3">
      <c r="A131" s="1" t="s">
        <v>579</v>
      </c>
      <c r="B131" s="2" t="s">
        <v>580</v>
      </c>
      <c r="C131" s="3" t="s">
        <v>581</v>
      </c>
      <c r="D131" s="2" t="s">
        <v>582</v>
      </c>
      <c r="E131" s="2">
        <v>2013</v>
      </c>
      <c r="F131" s="2" t="s">
        <v>461</v>
      </c>
      <c r="G131" s="2" t="s">
        <v>462</v>
      </c>
      <c r="H131" s="2" t="s">
        <v>583</v>
      </c>
      <c r="I131" s="4" t="str">
        <f>IF([1]!musicmd[[#This Row],[Views (YouTube)]]&gt;50000000,"Hit",IF([1]!musicmd[[#This Row],[Views (YouTube)]]&gt;10000000,"Average","Low"))</f>
        <v>Hit</v>
      </c>
      <c r="J131" s="5" t="str">
        <f>IF([1]!musicmd[[#This Row],[Views (YouTube)]]&gt;50000000,"High",IF([1]!musicmd[[#This Row],[Views (YouTube)]]&gt;10000000,"Medium","Low"))</f>
        <v>High</v>
      </c>
    </row>
    <row r="132" spans="1:10" x14ac:dyDescent="0.3">
      <c r="A132" s="6" t="s">
        <v>584</v>
      </c>
      <c r="B132" s="7" t="s">
        <v>585</v>
      </c>
      <c r="C132" s="7" t="s">
        <v>586</v>
      </c>
      <c r="D132" s="7" t="s">
        <v>587</v>
      </c>
      <c r="E132" s="7">
        <v>2021</v>
      </c>
      <c r="F132" s="7" t="s">
        <v>461</v>
      </c>
      <c r="G132" s="7" t="s">
        <v>72</v>
      </c>
      <c r="H132" s="7" t="s">
        <v>588</v>
      </c>
      <c r="I132" s="9" t="str">
        <f>IF([1]!musicmd[[#This Row],[Views (YouTube)]]&gt;50000000,"Hit",IF([1]!musicmd[[#This Row],[Views (YouTube)]]&gt;10000000,"Average","Low"))</f>
        <v>Hit</v>
      </c>
      <c r="J132" s="10" t="str">
        <f>IF([1]!musicmd[[#This Row],[Views (YouTube)]]&gt;50000000,"High",IF([1]!musicmd[[#This Row],[Views (YouTube)]]&gt;10000000,"Medium","Low"))</f>
        <v>High</v>
      </c>
    </row>
    <row r="133" spans="1:10" ht="144" x14ac:dyDescent="0.3">
      <c r="A133" s="1" t="s">
        <v>589</v>
      </c>
      <c r="B133" s="2" t="s">
        <v>590</v>
      </c>
      <c r="C133" s="3" t="s">
        <v>591</v>
      </c>
      <c r="D133" s="2" t="s">
        <v>587</v>
      </c>
      <c r="E133" s="2">
        <v>2021</v>
      </c>
      <c r="F133" s="2" t="s">
        <v>461</v>
      </c>
      <c r="G133" s="2" t="s">
        <v>360</v>
      </c>
      <c r="H133" s="2" t="s">
        <v>592</v>
      </c>
      <c r="I133" s="4" t="str">
        <f>IF([1]!musicmd[[#This Row],[Views (YouTube)]]&gt;50000000,"Hit",IF([1]!musicmd[[#This Row],[Views (YouTube)]]&gt;10000000,"Average","Low"))</f>
        <v>Hit</v>
      </c>
      <c r="J133" s="5" t="str">
        <f>IF([1]!musicmd[[#This Row],[Views (YouTube)]]&gt;50000000,"High",IF([1]!musicmd[[#This Row],[Views (YouTube)]]&gt;10000000,"Medium","Low"))</f>
        <v>High</v>
      </c>
    </row>
    <row r="134" spans="1:10" ht="144" x14ac:dyDescent="0.3">
      <c r="A134" s="6" t="s">
        <v>593</v>
      </c>
      <c r="B134" s="7" t="s">
        <v>594</v>
      </c>
      <c r="C134" s="8" t="s">
        <v>595</v>
      </c>
      <c r="D134" s="7" t="s">
        <v>596</v>
      </c>
      <c r="E134" s="7">
        <v>2010</v>
      </c>
      <c r="F134" s="7" t="s">
        <v>461</v>
      </c>
      <c r="G134" s="7" t="s">
        <v>597</v>
      </c>
      <c r="H134" s="7" t="s">
        <v>469</v>
      </c>
      <c r="I134" s="9" t="str">
        <f>IF([1]!musicmd[[#This Row],[Views (YouTube)]]&gt;50000000,"Hit",IF([1]!musicmd[[#This Row],[Views (YouTube)]]&gt;10000000,"Average","Low"))</f>
        <v>Hit</v>
      </c>
      <c r="J134" s="10" t="str">
        <f>IF([1]!musicmd[[#This Row],[Views (YouTube)]]&gt;50000000,"High",IF([1]!musicmd[[#This Row],[Views (YouTube)]]&gt;10000000,"Medium","Low"))</f>
        <v>High</v>
      </c>
    </row>
    <row r="135" spans="1:10" ht="115.2" x14ac:dyDescent="0.3">
      <c r="A135" s="1" t="s">
        <v>598</v>
      </c>
      <c r="B135" s="2" t="s">
        <v>599</v>
      </c>
      <c r="C135" s="3" t="s">
        <v>600</v>
      </c>
      <c r="D135" s="2" t="s">
        <v>596</v>
      </c>
      <c r="E135" s="2">
        <v>2010</v>
      </c>
      <c r="F135" s="2" t="s">
        <v>461</v>
      </c>
      <c r="G135" s="2" t="s">
        <v>601</v>
      </c>
      <c r="H135" s="2" t="s">
        <v>469</v>
      </c>
      <c r="I135" s="4" t="str">
        <f>IF([1]!musicmd[[#This Row],[Views (YouTube)]]&gt;50000000,"Hit",IF([1]!musicmd[[#This Row],[Views (YouTube)]]&gt;10000000,"Average","Low"))</f>
        <v>Hit</v>
      </c>
      <c r="J135" s="5" t="str">
        <f>IF([1]!musicmd[[#This Row],[Views (YouTube)]]&gt;50000000,"High",IF([1]!musicmd[[#This Row],[Views (YouTube)]]&gt;10000000,"Medium","Low"))</f>
        <v>High</v>
      </c>
    </row>
    <row r="136" spans="1:10" ht="115.2" x14ac:dyDescent="0.3">
      <c r="A136" s="6" t="s">
        <v>602</v>
      </c>
      <c r="B136" s="7" t="s">
        <v>603</v>
      </c>
      <c r="C136" s="8" t="s">
        <v>604</v>
      </c>
      <c r="D136" s="7" t="s">
        <v>596</v>
      </c>
      <c r="E136" s="7">
        <v>2010</v>
      </c>
      <c r="F136" s="7" t="s">
        <v>461</v>
      </c>
      <c r="G136" s="7" t="s">
        <v>605</v>
      </c>
      <c r="H136" s="7" t="s">
        <v>35</v>
      </c>
      <c r="I136" s="9" t="str">
        <f>IF([1]!musicmd[[#This Row],[Views (YouTube)]]&gt;50000000,"Hit",IF([1]!musicmd[[#This Row],[Views (YouTube)]]&gt;10000000,"Average","Low"))</f>
        <v>Hit</v>
      </c>
      <c r="J136" s="10" t="str">
        <f>IF([1]!musicmd[[#This Row],[Views (YouTube)]]&gt;50000000,"High",IF([1]!musicmd[[#This Row],[Views (YouTube)]]&gt;10000000,"Medium","Low"))</f>
        <v>High</v>
      </c>
    </row>
    <row r="137" spans="1:10" ht="86.4" x14ac:dyDescent="0.3">
      <c r="A137" s="1" t="s">
        <v>606</v>
      </c>
      <c r="B137" s="2" t="s">
        <v>607</v>
      </c>
      <c r="C137" s="3" t="s">
        <v>608</v>
      </c>
      <c r="D137" s="2" t="s">
        <v>596</v>
      </c>
      <c r="E137" s="2">
        <v>2010</v>
      </c>
      <c r="F137" s="2" t="s">
        <v>461</v>
      </c>
      <c r="G137" s="2" t="s">
        <v>77</v>
      </c>
      <c r="H137" s="2" t="s">
        <v>609</v>
      </c>
      <c r="I137" s="4" t="str">
        <f>IF([1]!musicmd[[#This Row],[Views (YouTube)]]&gt;50000000,"Hit",IF([1]!musicmd[[#This Row],[Views (YouTube)]]&gt;10000000,"Average","Low"))</f>
        <v>Hit</v>
      </c>
      <c r="J137" s="5" t="str">
        <f>IF([1]!musicmd[[#This Row],[Views (YouTube)]]&gt;50000000,"High",IF([1]!musicmd[[#This Row],[Views (YouTube)]]&gt;10000000,"Medium","Low"))</f>
        <v>High</v>
      </c>
    </row>
    <row r="138" spans="1:10" x14ac:dyDescent="0.3">
      <c r="A138" s="6" t="s">
        <v>610</v>
      </c>
      <c r="B138" s="7" t="s">
        <v>611</v>
      </c>
      <c r="C138" s="7" t="s">
        <v>612</v>
      </c>
      <c r="D138" s="7" t="s">
        <v>613</v>
      </c>
      <c r="E138" s="7">
        <v>2005</v>
      </c>
      <c r="F138" s="7" t="s">
        <v>461</v>
      </c>
      <c r="G138" s="7" t="s">
        <v>72</v>
      </c>
      <c r="H138" s="7" t="s">
        <v>442</v>
      </c>
      <c r="I138" s="9" t="str">
        <f>IF([1]!musicmd[[#This Row],[Views (YouTube)]]&gt;50000000,"Hit",IF([1]!musicmd[[#This Row],[Views (YouTube)]]&gt;10000000,"Average","Low"))</f>
        <v>Hit</v>
      </c>
      <c r="J138" s="10" t="str">
        <f>IF([1]!musicmd[[#This Row],[Views (YouTube)]]&gt;50000000,"High",IF([1]!musicmd[[#This Row],[Views (YouTube)]]&gt;10000000,"Medium","Low"))</f>
        <v>High</v>
      </c>
    </row>
    <row r="139" spans="1:10" ht="100.8" x14ac:dyDescent="0.3">
      <c r="A139" s="1" t="s">
        <v>614</v>
      </c>
      <c r="B139" s="2" t="s">
        <v>615</v>
      </c>
      <c r="C139" s="3" t="s">
        <v>616</v>
      </c>
      <c r="D139" s="2" t="s">
        <v>613</v>
      </c>
      <c r="E139" s="2">
        <v>2005</v>
      </c>
      <c r="F139" s="2" t="s">
        <v>461</v>
      </c>
      <c r="G139" s="2" t="s">
        <v>360</v>
      </c>
      <c r="H139" s="2" t="s">
        <v>617</v>
      </c>
      <c r="I139" s="4" t="str">
        <f>IF([1]!musicmd[[#This Row],[Views (YouTube)]]&gt;50000000,"Hit",IF([1]!musicmd[[#This Row],[Views (YouTube)]]&gt;10000000,"Average","Low"))</f>
        <v>Hit</v>
      </c>
      <c r="J139" s="5" t="str">
        <f>IF([1]!musicmd[[#This Row],[Views (YouTube)]]&gt;50000000,"High",IF([1]!musicmd[[#This Row],[Views (YouTube)]]&gt;10000000,"Medium","Low"))</f>
        <v>High</v>
      </c>
    </row>
    <row r="140" spans="1:10" ht="100.8" x14ac:dyDescent="0.3">
      <c r="A140" s="6" t="s">
        <v>618</v>
      </c>
      <c r="B140" s="7" t="s">
        <v>619</v>
      </c>
      <c r="C140" s="8" t="s">
        <v>620</v>
      </c>
      <c r="D140" s="7" t="s">
        <v>613</v>
      </c>
      <c r="E140" s="7">
        <v>2005</v>
      </c>
      <c r="F140" s="7" t="s">
        <v>461</v>
      </c>
      <c r="G140" s="7" t="s">
        <v>360</v>
      </c>
      <c r="H140" s="7" t="s">
        <v>621</v>
      </c>
      <c r="I140" s="9" t="str">
        <f>IF([1]!musicmd[[#This Row],[Views (YouTube)]]&gt;50000000,"Hit",IF([1]!musicmd[[#This Row],[Views (YouTube)]]&gt;10000000,"Average","Low"))</f>
        <v>Hit</v>
      </c>
      <c r="J140" s="10" t="str">
        <f>IF([1]!musicmd[[#This Row],[Views (YouTube)]]&gt;50000000,"High",IF([1]!musicmd[[#This Row],[Views (YouTube)]]&gt;10000000,"Medium","Low"))</f>
        <v>High</v>
      </c>
    </row>
    <row r="141" spans="1:10" ht="201.6" x14ac:dyDescent="0.3">
      <c r="A141" s="1" t="s">
        <v>622</v>
      </c>
      <c r="B141" s="2" t="s">
        <v>623</v>
      </c>
      <c r="C141" s="3" t="s">
        <v>624</v>
      </c>
      <c r="D141" s="2" t="s">
        <v>625</v>
      </c>
      <c r="E141" s="2">
        <v>2016</v>
      </c>
      <c r="F141" s="2" t="s">
        <v>461</v>
      </c>
      <c r="G141" s="2" t="s">
        <v>605</v>
      </c>
      <c r="H141" s="2" t="s">
        <v>626</v>
      </c>
      <c r="I141" s="4" t="str">
        <f>IF([1]!musicmd[[#This Row],[Views (YouTube)]]&gt;50000000,"Hit",IF([1]!musicmd[[#This Row],[Views (YouTube)]]&gt;10000000,"Average","Low"))</f>
        <v>Hit</v>
      </c>
      <c r="J141" s="5" t="str">
        <f>IF([1]!musicmd[[#This Row],[Views (YouTube)]]&gt;50000000,"High",IF([1]!musicmd[[#This Row],[Views (YouTube)]]&gt;10000000,"Medium","Low"))</f>
        <v>High</v>
      </c>
    </row>
    <row r="142" spans="1:10" ht="100.8" x14ac:dyDescent="0.3">
      <c r="A142" s="6" t="s">
        <v>627</v>
      </c>
      <c r="B142" s="7" t="s">
        <v>628</v>
      </c>
      <c r="C142" s="8" t="s">
        <v>629</v>
      </c>
      <c r="D142" s="7" t="s">
        <v>625</v>
      </c>
      <c r="E142" s="7">
        <v>2016</v>
      </c>
      <c r="F142" s="7" t="s">
        <v>461</v>
      </c>
      <c r="G142" s="7" t="s">
        <v>143</v>
      </c>
      <c r="H142" s="7" t="s">
        <v>630</v>
      </c>
      <c r="I142" s="9" t="str">
        <f>IF([1]!musicmd[[#This Row],[Views (YouTube)]]&gt;50000000,"Hit",IF([1]!musicmd[[#This Row],[Views (YouTube)]]&gt;10000000,"Average","Low"))</f>
        <v>Hit</v>
      </c>
      <c r="J142" s="10" t="str">
        <f>IF([1]!musicmd[[#This Row],[Views (YouTube)]]&gt;50000000,"High",IF([1]!musicmd[[#This Row],[Views (YouTube)]]&gt;10000000,"Medium","Low"))</f>
        <v>High</v>
      </c>
    </row>
    <row r="143" spans="1:10" ht="158.4" x14ac:dyDescent="0.3">
      <c r="A143" s="1" t="s">
        <v>631</v>
      </c>
      <c r="B143" s="2" t="s">
        <v>632</v>
      </c>
      <c r="C143" s="3" t="s">
        <v>633</v>
      </c>
      <c r="D143" s="2" t="s">
        <v>625</v>
      </c>
      <c r="E143" s="2">
        <v>2016</v>
      </c>
      <c r="F143" s="2" t="s">
        <v>461</v>
      </c>
      <c r="G143" s="2" t="s">
        <v>143</v>
      </c>
      <c r="H143" s="2" t="s">
        <v>519</v>
      </c>
      <c r="I143" s="4" t="str">
        <f>IF([1]!musicmd[[#This Row],[Views (YouTube)]]&gt;50000000,"Hit",IF([1]!musicmd[[#This Row],[Views (YouTube)]]&gt;10000000,"Average","Low"))</f>
        <v>Hit</v>
      </c>
      <c r="J143" s="5" t="str">
        <f>IF([1]!musicmd[[#This Row],[Views (YouTube)]]&gt;50000000,"High",IF([1]!musicmd[[#This Row],[Views (YouTube)]]&gt;10000000,"Medium","Low"))</f>
        <v>High</v>
      </c>
    </row>
    <row r="144" spans="1:10" ht="129.6" x14ac:dyDescent="0.3">
      <c r="A144" s="6" t="s">
        <v>634</v>
      </c>
      <c r="B144" s="7" t="s">
        <v>635</v>
      </c>
      <c r="C144" s="8" t="s">
        <v>636</v>
      </c>
      <c r="D144" s="7" t="s">
        <v>637</v>
      </c>
      <c r="E144" s="7">
        <v>1998</v>
      </c>
      <c r="F144" s="7" t="s">
        <v>461</v>
      </c>
      <c r="G144" s="7" t="s">
        <v>72</v>
      </c>
      <c r="H144" s="7" t="s">
        <v>35</v>
      </c>
      <c r="I144" s="9" t="str">
        <f>IF([1]!musicmd[[#This Row],[Views (YouTube)]]&gt;50000000,"Hit",IF([1]!musicmd[[#This Row],[Views (YouTube)]]&gt;10000000,"Average","Low"))</f>
        <v>Hit</v>
      </c>
      <c r="J144" s="10" t="str">
        <f>IF([1]!musicmd[[#This Row],[Views (YouTube)]]&gt;50000000,"High",IF([1]!musicmd[[#This Row],[Views (YouTube)]]&gt;10000000,"Medium","Low"))</f>
        <v>High</v>
      </c>
    </row>
    <row r="145" spans="1:10" ht="129.6" x14ac:dyDescent="0.3">
      <c r="A145" s="1" t="s">
        <v>638</v>
      </c>
      <c r="B145" s="2" t="s">
        <v>639</v>
      </c>
      <c r="C145" s="3" t="s">
        <v>640</v>
      </c>
      <c r="D145" s="2" t="s">
        <v>637</v>
      </c>
      <c r="E145" s="2">
        <v>1998</v>
      </c>
      <c r="F145" s="2" t="s">
        <v>461</v>
      </c>
      <c r="G145" s="2" t="s">
        <v>10</v>
      </c>
      <c r="H145" s="2" t="s">
        <v>609</v>
      </c>
      <c r="I145" s="4" t="str">
        <f>IF([1]!musicmd[[#This Row],[Views (YouTube)]]&gt;50000000,"Hit",IF([1]!musicmd[[#This Row],[Views (YouTube)]]&gt;10000000,"Average","Low"))</f>
        <v>Hit</v>
      </c>
      <c r="J145" s="5" t="str">
        <f>IF([1]!musicmd[[#This Row],[Views (YouTube)]]&gt;50000000,"High",IF([1]!musicmd[[#This Row],[Views (YouTube)]]&gt;10000000,"Medium","Low"))</f>
        <v>High</v>
      </c>
    </row>
    <row r="146" spans="1:10" ht="129.6" x14ac:dyDescent="0.3">
      <c r="A146" s="6" t="s">
        <v>641</v>
      </c>
      <c r="B146" s="7" t="s">
        <v>642</v>
      </c>
      <c r="C146" s="8" t="s">
        <v>643</v>
      </c>
      <c r="D146" s="7" t="s">
        <v>644</v>
      </c>
      <c r="E146" s="7">
        <v>2016</v>
      </c>
      <c r="F146" s="7" t="s">
        <v>461</v>
      </c>
      <c r="G146" s="7" t="s">
        <v>645</v>
      </c>
      <c r="H146" s="7" t="s">
        <v>469</v>
      </c>
      <c r="I146" s="9" t="str">
        <f>IF([1]!musicmd[[#This Row],[Views (YouTube)]]&gt;50000000,"Hit",IF([1]!musicmd[[#This Row],[Views (YouTube)]]&gt;10000000,"Average","Low"))</f>
        <v>Hit</v>
      </c>
      <c r="J146" s="10" t="str">
        <f>IF([1]!musicmd[[#This Row],[Views (YouTube)]]&gt;50000000,"High",IF([1]!musicmd[[#This Row],[Views (YouTube)]]&gt;10000000,"Medium","Low"))</f>
        <v>High</v>
      </c>
    </row>
    <row r="147" spans="1:10" x14ac:dyDescent="0.3">
      <c r="A147" s="1" t="s">
        <v>646</v>
      </c>
      <c r="B147" s="2" t="s">
        <v>647</v>
      </c>
      <c r="C147" s="2" t="s">
        <v>648</v>
      </c>
      <c r="D147" s="2" t="s">
        <v>644</v>
      </c>
      <c r="E147" s="2">
        <v>2016</v>
      </c>
      <c r="F147" s="2" t="s">
        <v>461</v>
      </c>
      <c r="G147" s="2" t="s">
        <v>649</v>
      </c>
      <c r="H147" s="2" t="s">
        <v>650</v>
      </c>
      <c r="I147" s="4" t="str">
        <f>IF([1]!musicmd[[#This Row],[Views (YouTube)]]&gt;50000000,"Hit",IF([1]!musicmd[[#This Row],[Views (YouTube)]]&gt;10000000,"Average","Low"))</f>
        <v>Hit</v>
      </c>
      <c r="J147" s="5" t="str">
        <f>IF([1]!musicmd[[#This Row],[Views (YouTube)]]&gt;50000000,"High",IF([1]!musicmd[[#This Row],[Views (YouTube)]]&gt;10000000,"Medium","Low"))</f>
        <v>High</v>
      </c>
    </row>
    <row r="148" spans="1:10" x14ac:dyDescent="0.3">
      <c r="A148" s="6" t="s">
        <v>651</v>
      </c>
      <c r="B148" s="7" t="s">
        <v>652</v>
      </c>
      <c r="C148" s="7" t="s">
        <v>653</v>
      </c>
      <c r="D148" s="7" t="s">
        <v>654</v>
      </c>
      <c r="E148" s="7">
        <v>2024</v>
      </c>
      <c r="F148" s="7" t="s">
        <v>461</v>
      </c>
      <c r="G148" s="7" t="s">
        <v>77</v>
      </c>
      <c r="H148" s="7" t="s">
        <v>35</v>
      </c>
      <c r="I148" s="9" t="str">
        <f>IF([1]!musicmd[[#This Row],[Views (YouTube)]]&gt;50000000,"Hit",IF([1]!musicmd[[#This Row],[Views (YouTube)]]&gt;10000000,"Average","Low"))</f>
        <v>Hit</v>
      </c>
      <c r="J148" s="10" t="str">
        <f>IF([1]!musicmd[[#This Row],[Views (YouTube)]]&gt;50000000,"High",IF([1]!musicmd[[#This Row],[Views (YouTube)]]&gt;10000000,"Medium","Low"))</f>
        <v>High</v>
      </c>
    </row>
    <row r="149" spans="1:10" ht="100.8" x14ac:dyDescent="0.3">
      <c r="A149" s="1" t="s">
        <v>655</v>
      </c>
      <c r="B149" s="2" t="s">
        <v>656</v>
      </c>
      <c r="C149" s="3" t="s">
        <v>657</v>
      </c>
      <c r="D149" s="2" t="s">
        <v>658</v>
      </c>
      <c r="E149" s="2">
        <v>2022</v>
      </c>
      <c r="F149" s="2" t="s">
        <v>461</v>
      </c>
      <c r="G149" s="2" t="s">
        <v>43</v>
      </c>
      <c r="H149" s="2" t="s">
        <v>373</v>
      </c>
      <c r="I149" s="4" t="str">
        <f>IF([1]!musicmd[[#This Row],[Views (YouTube)]]&gt;50000000,"Hit",IF([1]!musicmd[[#This Row],[Views (YouTube)]]&gt;10000000,"Average","Low"))</f>
        <v>Hit</v>
      </c>
      <c r="J149" s="5" t="str">
        <f>IF([1]!musicmd[[#This Row],[Views (YouTube)]]&gt;50000000,"High",IF([1]!musicmd[[#This Row],[Views (YouTube)]]&gt;10000000,"Medium","Low"))</f>
        <v>High</v>
      </c>
    </row>
    <row r="150" spans="1:10" ht="86.4" x14ac:dyDescent="0.3">
      <c r="A150" s="6" t="s">
        <v>659</v>
      </c>
      <c r="B150" s="7" t="s">
        <v>660</v>
      </c>
      <c r="C150" s="8" t="s">
        <v>661</v>
      </c>
      <c r="D150" s="7" t="s">
        <v>658</v>
      </c>
      <c r="E150" s="7">
        <v>2022</v>
      </c>
      <c r="F150" s="7" t="s">
        <v>461</v>
      </c>
      <c r="G150" s="7" t="s">
        <v>72</v>
      </c>
      <c r="H150" s="7" t="s">
        <v>304</v>
      </c>
      <c r="I150" s="9" t="str">
        <f>IF([1]!musicmd[[#This Row],[Views (YouTube)]]&gt;50000000,"Hit",IF([1]!musicmd[[#This Row],[Views (YouTube)]]&gt;10000000,"Average","Low"))</f>
        <v>Hit</v>
      </c>
      <c r="J150" s="10" t="str">
        <f>IF([1]!musicmd[[#This Row],[Views (YouTube)]]&gt;50000000,"High",IF([1]!musicmd[[#This Row],[Views (YouTube)]]&gt;10000000,"Medium","Low"))</f>
        <v>High</v>
      </c>
    </row>
    <row r="151" spans="1:10" x14ac:dyDescent="0.3">
      <c r="A151" s="1" t="s">
        <v>662</v>
      </c>
      <c r="B151" s="2" t="s">
        <v>663</v>
      </c>
      <c r="C151" s="2" t="s">
        <v>664</v>
      </c>
      <c r="D151" s="2" t="s">
        <v>665</v>
      </c>
      <c r="E151" s="2">
        <v>2018</v>
      </c>
      <c r="F151" s="2" t="s">
        <v>461</v>
      </c>
      <c r="G151" s="2" t="s">
        <v>58</v>
      </c>
      <c r="H151" s="2" t="s">
        <v>666</v>
      </c>
      <c r="I151" s="4" t="str">
        <f>IF([1]!musicmd[[#This Row],[Views (YouTube)]]&gt;50000000,"Hit",IF([1]!musicmd[[#This Row],[Views (YouTube)]]&gt;10000000,"Average","Low"))</f>
        <v>Hit</v>
      </c>
      <c r="J151" s="5" t="str">
        <f>IF([1]!musicmd[[#This Row],[Views (YouTube)]]&gt;50000000,"High",IF([1]!musicmd[[#This Row],[Views (YouTube)]]&gt;10000000,"Medium","Low"))</f>
        <v>High</v>
      </c>
    </row>
    <row r="152" spans="1:10" x14ac:dyDescent="0.3">
      <c r="A152" s="6" t="s">
        <v>667</v>
      </c>
      <c r="B152" s="7" t="s">
        <v>668</v>
      </c>
      <c r="C152" s="7" t="s">
        <v>669</v>
      </c>
      <c r="D152" s="7" t="s">
        <v>670</v>
      </c>
      <c r="E152" s="7">
        <v>2004</v>
      </c>
      <c r="F152" s="7" t="s">
        <v>461</v>
      </c>
      <c r="G152" s="7" t="s">
        <v>43</v>
      </c>
      <c r="H152" s="7" t="s">
        <v>189</v>
      </c>
      <c r="I152" s="9" t="str">
        <f>IF([1]!musicmd[[#This Row],[Views (YouTube)]]&gt;50000000,"Hit",IF([1]!musicmd[[#This Row],[Views (YouTube)]]&gt;10000000,"Average","Low"))</f>
        <v>Hit</v>
      </c>
      <c r="J152" s="10" t="str">
        <f>IF([1]!musicmd[[#This Row],[Views (YouTube)]]&gt;50000000,"High",IF([1]!musicmd[[#This Row],[Views (YouTube)]]&gt;10000000,"Medium","Low"))</f>
        <v>High</v>
      </c>
    </row>
    <row r="153" spans="1:10" ht="129.6" x14ac:dyDescent="0.3">
      <c r="A153" s="1" t="s">
        <v>671</v>
      </c>
      <c r="B153" s="2" t="s">
        <v>672</v>
      </c>
      <c r="C153" s="3" t="s">
        <v>673</v>
      </c>
      <c r="D153" s="2" t="s">
        <v>674</v>
      </c>
      <c r="E153" s="2">
        <v>2024</v>
      </c>
      <c r="F153" s="2" t="s">
        <v>675</v>
      </c>
      <c r="G153" s="2" t="s">
        <v>77</v>
      </c>
      <c r="H153" s="2" t="s">
        <v>35</v>
      </c>
      <c r="I153" s="4" t="str">
        <f>IF([1]!musicmd[[#This Row],[Views (YouTube)]]&gt;50000000,"Hit",IF([1]!musicmd[[#This Row],[Views (YouTube)]]&gt;10000000,"Average","Low"))</f>
        <v>Hit</v>
      </c>
      <c r="J153" s="5" t="str">
        <f>IF([1]!musicmd[[#This Row],[Views (YouTube)]]&gt;50000000,"High",IF([1]!musicmd[[#This Row],[Views (YouTube)]]&gt;10000000,"Medium","Low"))</f>
        <v>High</v>
      </c>
    </row>
    <row r="154" spans="1:10" ht="115.2" x14ac:dyDescent="0.3">
      <c r="A154" s="6" t="s">
        <v>676</v>
      </c>
      <c r="B154" s="7" t="s">
        <v>677</v>
      </c>
      <c r="C154" s="8" t="s">
        <v>678</v>
      </c>
      <c r="D154" s="7" t="s">
        <v>674</v>
      </c>
      <c r="E154" s="7">
        <v>2024</v>
      </c>
      <c r="F154" s="7" t="s">
        <v>675</v>
      </c>
      <c r="G154" s="7" t="s">
        <v>77</v>
      </c>
      <c r="H154" s="7" t="s">
        <v>300</v>
      </c>
      <c r="I154" s="9" t="str">
        <f>IF([1]!musicmd[[#This Row],[Views (YouTube)]]&gt;50000000,"Hit",IF([1]!musicmd[[#This Row],[Views (YouTube)]]&gt;10000000,"Average","Low"))</f>
        <v>Hit</v>
      </c>
      <c r="J154" s="10" t="str">
        <f>IF([1]!musicmd[[#This Row],[Views (YouTube)]]&gt;50000000,"High",IF([1]!musicmd[[#This Row],[Views (YouTube)]]&gt;10000000,"Medium","Low"))</f>
        <v>High</v>
      </c>
    </row>
    <row r="155" spans="1:10" x14ac:dyDescent="0.3">
      <c r="A155" s="1" t="s">
        <v>679</v>
      </c>
      <c r="B155" s="2" t="s">
        <v>680</v>
      </c>
      <c r="C155" s="2" t="s">
        <v>681</v>
      </c>
      <c r="D155" s="2" t="s">
        <v>674</v>
      </c>
      <c r="E155" s="2">
        <v>2024</v>
      </c>
      <c r="F155" s="2" t="s">
        <v>675</v>
      </c>
      <c r="G155" s="2" t="s">
        <v>72</v>
      </c>
      <c r="H155" s="2" t="s">
        <v>682</v>
      </c>
      <c r="I155" s="4" t="str">
        <f>IF([1]!musicmd[[#This Row],[Views (YouTube)]]&gt;50000000,"Hit",IF([1]!musicmd[[#This Row],[Views (YouTube)]]&gt;10000000,"Average","Low"))</f>
        <v>Hit</v>
      </c>
      <c r="J155" s="5" t="str">
        <f>IF([1]!musicmd[[#This Row],[Views (YouTube)]]&gt;50000000,"High",IF([1]!musicmd[[#This Row],[Views (YouTube)]]&gt;10000000,"Medium","Low"))</f>
        <v>High</v>
      </c>
    </row>
    <row r="156" spans="1:10" x14ac:dyDescent="0.3">
      <c r="A156" s="6" t="s">
        <v>683</v>
      </c>
      <c r="B156" s="7" t="s">
        <v>684</v>
      </c>
      <c r="C156" s="7" t="s">
        <v>685</v>
      </c>
      <c r="D156" s="7" t="s">
        <v>674</v>
      </c>
      <c r="E156" s="7">
        <v>2024</v>
      </c>
      <c r="F156" s="7" t="s">
        <v>675</v>
      </c>
      <c r="G156" s="7" t="s">
        <v>686</v>
      </c>
      <c r="H156" s="7" t="s">
        <v>687</v>
      </c>
      <c r="I156" s="9" t="str">
        <f>IF([1]!musicmd[[#This Row],[Views (YouTube)]]&gt;50000000,"Hit",IF([1]!musicmd[[#This Row],[Views (YouTube)]]&gt;10000000,"Average","Low"))</f>
        <v>Hit</v>
      </c>
      <c r="J156" s="10" t="str">
        <f>IF([1]!musicmd[[#This Row],[Views (YouTube)]]&gt;50000000,"High",IF([1]!musicmd[[#This Row],[Views (YouTube)]]&gt;10000000,"Medium","Low"))</f>
        <v>High</v>
      </c>
    </row>
    <row r="157" spans="1:10" ht="86.4" x14ac:dyDescent="0.3">
      <c r="A157" s="1" t="s">
        <v>688</v>
      </c>
      <c r="B157" s="2" t="s">
        <v>689</v>
      </c>
      <c r="C157" s="3" t="s">
        <v>690</v>
      </c>
      <c r="D157" s="2" t="s">
        <v>691</v>
      </c>
      <c r="E157" s="2">
        <v>2024</v>
      </c>
      <c r="F157" s="2" t="s">
        <v>675</v>
      </c>
      <c r="G157" s="2" t="s">
        <v>518</v>
      </c>
      <c r="H157" s="2" t="s">
        <v>692</v>
      </c>
      <c r="I157" s="4" t="str">
        <f>IF([1]!musicmd[[#This Row],[Views (YouTube)]]&gt;50000000,"Hit",IF([1]!musicmd[[#This Row],[Views (YouTube)]]&gt;10000000,"Average","Low"))</f>
        <v>Hit</v>
      </c>
      <c r="J157" s="5" t="str">
        <f>IF([1]!musicmd[[#This Row],[Views (YouTube)]]&gt;50000000,"High",IF([1]!musicmd[[#This Row],[Views (YouTube)]]&gt;10000000,"Medium","Low"))</f>
        <v>High</v>
      </c>
    </row>
    <row r="158" spans="1:10" ht="100.8" x14ac:dyDescent="0.3">
      <c r="A158" s="6" t="s">
        <v>693</v>
      </c>
      <c r="B158" s="7" t="s">
        <v>694</v>
      </c>
      <c r="C158" s="8" t="s">
        <v>695</v>
      </c>
      <c r="D158" s="7" t="s">
        <v>691</v>
      </c>
      <c r="E158" s="7">
        <v>2024</v>
      </c>
      <c r="F158" s="7" t="s">
        <v>675</v>
      </c>
      <c r="G158" s="7" t="s">
        <v>696</v>
      </c>
      <c r="H158" s="7" t="s">
        <v>469</v>
      </c>
      <c r="I158" s="9" t="str">
        <f>IF([1]!musicmd[[#This Row],[Views (YouTube)]]&gt;50000000,"Hit",IF([1]!musicmd[[#This Row],[Views (YouTube)]]&gt;10000000,"Average","Low"))</f>
        <v>Hit</v>
      </c>
      <c r="J158" s="10" t="str">
        <f>IF([1]!musicmd[[#This Row],[Views (YouTube)]]&gt;50000000,"High",IF([1]!musicmd[[#This Row],[Views (YouTube)]]&gt;10000000,"Medium","Low"))</f>
        <v>High</v>
      </c>
    </row>
    <row r="159" spans="1:10" ht="115.2" x14ac:dyDescent="0.3">
      <c r="A159" s="1" t="s">
        <v>697</v>
      </c>
      <c r="B159" s="2" t="s">
        <v>698</v>
      </c>
      <c r="C159" s="3" t="s">
        <v>699</v>
      </c>
      <c r="D159" s="2" t="s">
        <v>691</v>
      </c>
      <c r="E159" s="2">
        <v>2024</v>
      </c>
      <c r="F159" s="2" t="s">
        <v>675</v>
      </c>
      <c r="G159" s="2" t="s">
        <v>77</v>
      </c>
      <c r="H159" s="2" t="s">
        <v>700</v>
      </c>
      <c r="I159" s="4" t="str">
        <f>IF([1]!musicmd[[#This Row],[Views (YouTube)]]&gt;50000000,"Hit",IF([1]!musicmd[[#This Row],[Views (YouTube)]]&gt;10000000,"Average","Low"))</f>
        <v>Hit</v>
      </c>
      <c r="J159" s="5" t="str">
        <f>IF([1]!musicmd[[#This Row],[Views (YouTube)]]&gt;50000000,"High",IF([1]!musicmd[[#This Row],[Views (YouTube)]]&gt;10000000,"Medium","Low"))</f>
        <v>High</v>
      </c>
    </row>
    <row r="160" spans="1:10" ht="100.8" x14ac:dyDescent="0.3">
      <c r="A160" s="6" t="s">
        <v>701</v>
      </c>
      <c r="B160" s="7" t="s">
        <v>702</v>
      </c>
      <c r="C160" s="8" t="s">
        <v>703</v>
      </c>
      <c r="D160" s="7" t="s">
        <v>691</v>
      </c>
      <c r="E160" s="7">
        <v>2024</v>
      </c>
      <c r="F160" s="7" t="s">
        <v>675</v>
      </c>
      <c r="G160" s="7" t="s">
        <v>109</v>
      </c>
      <c r="H160" s="7" t="s">
        <v>300</v>
      </c>
      <c r="I160" s="9" t="str">
        <f>IF([1]!musicmd[[#This Row],[Views (YouTube)]]&gt;50000000,"Hit",IF([1]!musicmd[[#This Row],[Views (YouTube)]]&gt;10000000,"Average","Low"))</f>
        <v>Hit</v>
      </c>
      <c r="J160" s="10" t="str">
        <f>IF([1]!musicmd[[#This Row],[Views (YouTube)]]&gt;50000000,"High",IF([1]!musicmd[[#This Row],[Views (YouTube)]]&gt;10000000,"Medium","Low"))</f>
        <v>High</v>
      </c>
    </row>
    <row r="161" spans="1:10" ht="100.8" x14ac:dyDescent="0.3">
      <c r="A161" s="1" t="s">
        <v>704</v>
      </c>
      <c r="B161" s="2" t="s">
        <v>705</v>
      </c>
      <c r="C161" s="3" t="s">
        <v>706</v>
      </c>
      <c r="D161" s="2" t="s">
        <v>691</v>
      </c>
      <c r="E161" s="2">
        <v>2024</v>
      </c>
      <c r="F161" s="2" t="s">
        <v>675</v>
      </c>
      <c r="G161" s="2" t="s">
        <v>58</v>
      </c>
      <c r="H161" s="2" t="s">
        <v>707</v>
      </c>
      <c r="I161" s="4" t="str">
        <f>IF([1]!musicmd[[#This Row],[Views (YouTube)]]&gt;50000000,"Hit",IF([1]!musicmd[[#This Row],[Views (YouTube)]]&gt;10000000,"Average","Low"))</f>
        <v>Hit</v>
      </c>
      <c r="J161" s="5" t="str">
        <f>IF([1]!musicmd[[#This Row],[Views (YouTube)]]&gt;50000000,"High",IF([1]!musicmd[[#This Row],[Views (YouTube)]]&gt;10000000,"Medium","Low"))</f>
        <v>High</v>
      </c>
    </row>
    <row r="162" spans="1:10" x14ac:dyDescent="0.3">
      <c r="A162" s="6" t="s">
        <v>708</v>
      </c>
      <c r="B162" s="7" t="s">
        <v>709</v>
      </c>
      <c r="C162" s="7" t="s">
        <v>710</v>
      </c>
      <c r="D162" s="7" t="s">
        <v>711</v>
      </c>
      <c r="E162" s="7">
        <v>2025</v>
      </c>
      <c r="F162" s="7" t="s">
        <v>675</v>
      </c>
      <c r="G162" s="7" t="s">
        <v>712</v>
      </c>
      <c r="H162" s="7" t="s">
        <v>713</v>
      </c>
      <c r="I162" s="9" t="str">
        <f>IF([1]!musicmd[[#This Row],[Views (YouTube)]]&gt;50000000,"Hit",IF([1]!musicmd[[#This Row],[Views (YouTube)]]&gt;10000000,"Average","Low"))</f>
        <v>Hit</v>
      </c>
      <c r="J162" s="10" t="str">
        <f>IF([1]!musicmd[[#This Row],[Views (YouTube)]]&gt;50000000,"High",IF([1]!musicmd[[#This Row],[Views (YouTube)]]&gt;10000000,"Medium","Low"))</f>
        <v>High</v>
      </c>
    </row>
    <row r="163" spans="1:10" x14ac:dyDescent="0.3">
      <c r="A163" s="1" t="s">
        <v>714</v>
      </c>
      <c r="B163" s="2" t="s">
        <v>715</v>
      </c>
      <c r="C163" s="2" t="s">
        <v>716</v>
      </c>
      <c r="D163" s="2" t="s">
        <v>717</v>
      </c>
      <c r="E163" s="2">
        <v>2019</v>
      </c>
      <c r="F163" s="2" t="s">
        <v>675</v>
      </c>
      <c r="G163" s="2" t="s">
        <v>109</v>
      </c>
      <c r="H163" s="2" t="s">
        <v>718</v>
      </c>
      <c r="I163" s="4" t="str">
        <f>IF([1]!musicmd[[#This Row],[Views (YouTube)]]&gt;50000000,"Hit",IF([1]!musicmd[[#This Row],[Views (YouTube)]]&gt;10000000,"Average","Low"))</f>
        <v>Hit</v>
      </c>
      <c r="J163" s="5" t="str">
        <f>IF([1]!musicmd[[#This Row],[Views (YouTube)]]&gt;50000000,"High",IF([1]!musicmd[[#This Row],[Views (YouTube)]]&gt;10000000,"Medium","Low"))</f>
        <v>High</v>
      </c>
    </row>
    <row r="164" spans="1:10" x14ac:dyDescent="0.3">
      <c r="A164" s="6" t="s">
        <v>719</v>
      </c>
      <c r="B164" s="7" t="s">
        <v>720</v>
      </c>
      <c r="C164" s="7" t="s">
        <v>721</v>
      </c>
      <c r="D164" s="7" t="s">
        <v>717</v>
      </c>
      <c r="E164" s="7">
        <v>2019</v>
      </c>
      <c r="F164" s="7" t="s">
        <v>675</v>
      </c>
      <c r="G164" s="7" t="s">
        <v>722</v>
      </c>
      <c r="H164" s="7" t="s">
        <v>723</v>
      </c>
      <c r="I164" s="9" t="str">
        <f>IF([1]!musicmd[[#This Row],[Views (YouTube)]]&gt;50000000,"Hit",IF([1]!musicmd[[#This Row],[Views (YouTube)]]&gt;10000000,"Average","Low"))</f>
        <v>Hit</v>
      </c>
      <c r="J164" s="10" t="str">
        <f>IF([1]!musicmd[[#This Row],[Views (YouTube)]]&gt;50000000,"High",IF([1]!musicmd[[#This Row],[Views (YouTube)]]&gt;10000000,"Medium","Low"))</f>
        <v>High</v>
      </c>
    </row>
    <row r="165" spans="1:10" ht="158.4" x14ac:dyDescent="0.3">
      <c r="A165" s="1" t="s">
        <v>724</v>
      </c>
      <c r="B165" s="2" t="s">
        <v>725</v>
      </c>
      <c r="C165" s="3" t="s">
        <v>726</v>
      </c>
      <c r="D165" s="2" t="s">
        <v>727</v>
      </c>
      <c r="E165" s="2">
        <v>2020</v>
      </c>
      <c r="F165" s="2" t="s">
        <v>675</v>
      </c>
      <c r="G165" s="2" t="s">
        <v>722</v>
      </c>
      <c r="H165" s="2" t="s">
        <v>728</v>
      </c>
      <c r="I165" s="4" t="str">
        <f>IF([1]!musicmd[[#This Row],[Views (YouTube)]]&gt;50000000,"Hit",IF([1]!musicmd[[#This Row],[Views (YouTube)]]&gt;10000000,"Average","Low"))</f>
        <v>Hit</v>
      </c>
      <c r="J165" s="5" t="str">
        <f>IF([1]!musicmd[[#This Row],[Views (YouTube)]]&gt;50000000,"High",IF([1]!musicmd[[#This Row],[Views (YouTube)]]&gt;10000000,"Medium","Low"))</f>
        <v>High</v>
      </c>
    </row>
    <row r="166" spans="1:10" x14ac:dyDescent="0.3">
      <c r="A166" s="6" t="s">
        <v>729</v>
      </c>
      <c r="B166" s="7" t="s">
        <v>730</v>
      </c>
      <c r="C166" s="7" t="s">
        <v>731</v>
      </c>
      <c r="D166" s="7" t="s">
        <v>727</v>
      </c>
      <c r="E166" s="7">
        <v>2020</v>
      </c>
      <c r="F166" s="7" t="s">
        <v>675</v>
      </c>
      <c r="G166" s="7" t="s">
        <v>184</v>
      </c>
      <c r="H166" s="7" t="s">
        <v>59</v>
      </c>
      <c r="I166" s="9" t="str">
        <f>IF([1]!musicmd[[#This Row],[Views (YouTube)]]&gt;50000000,"Hit",IF([1]!musicmd[[#This Row],[Views (YouTube)]]&gt;10000000,"Average","Low"))</f>
        <v>Hit</v>
      </c>
      <c r="J166" s="10" t="str">
        <f>IF([1]!musicmd[[#This Row],[Views (YouTube)]]&gt;50000000,"High",IF([1]!musicmd[[#This Row],[Views (YouTube)]]&gt;10000000,"Medium","Low"))</f>
        <v>High</v>
      </c>
    </row>
    <row r="167" spans="1:10" x14ac:dyDescent="0.3">
      <c r="A167" s="1" t="s">
        <v>732</v>
      </c>
      <c r="B167" s="2" t="s">
        <v>733</v>
      </c>
      <c r="C167" s="2" t="s">
        <v>734</v>
      </c>
      <c r="D167" s="2" t="s">
        <v>727</v>
      </c>
      <c r="E167" s="2">
        <v>2020</v>
      </c>
      <c r="F167" s="2" t="s">
        <v>675</v>
      </c>
      <c r="G167" s="2" t="s">
        <v>645</v>
      </c>
      <c r="H167" s="2" t="s">
        <v>588</v>
      </c>
      <c r="I167" s="4" t="str">
        <f>IF([1]!musicmd[[#This Row],[Views (YouTube)]]&gt;50000000,"Hit",IF([1]!musicmd[[#This Row],[Views (YouTube)]]&gt;10000000,"Average","Low"))</f>
        <v>Hit</v>
      </c>
      <c r="J167" s="5" t="str">
        <f>IF([1]!musicmd[[#This Row],[Views (YouTube)]]&gt;50000000,"High",IF([1]!musicmd[[#This Row],[Views (YouTube)]]&gt;10000000,"Medium","Low"))</f>
        <v>High</v>
      </c>
    </row>
    <row r="168" spans="1:10" ht="86.4" x14ac:dyDescent="0.3">
      <c r="A168" s="6" t="s">
        <v>735</v>
      </c>
      <c r="B168" s="7" t="s">
        <v>736</v>
      </c>
      <c r="C168" s="8" t="s">
        <v>737</v>
      </c>
      <c r="D168" s="7" t="s">
        <v>738</v>
      </c>
      <c r="E168" s="7">
        <v>2025</v>
      </c>
      <c r="F168" s="7" t="s">
        <v>675</v>
      </c>
      <c r="G168" s="7" t="s">
        <v>143</v>
      </c>
      <c r="H168" s="7" t="s">
        <v>739</v>
      </c>
      <c r="I168" s="9" t="str">
        <f>IF([1]!musicmd[[#This Row],[Views (YouTube)]]&gt;50000000,"Hit",IF([1]!musicmd[[#This Row],[Views (YouTube)]]&gt;10000000,"Average","Low"))</f>
        <v>Hit</v>
      </c>
      <c r="J168" s="10" t="str">
        <f>IF([1]!musicmd[[#This Row],[Views (YouTube)]]&gt;50000000,"High",IF([1]!musicmd[[#This Row],[Views (YouTube)]]&gt;10000000,"Medium","Low"))</f>
        <v>High</v>
      </c>
    </row>
    <row r="169" spans="1:10" x14ac:dyDescent="0.3">
      <c r="A169" s="1" t="s">
        <v>740</v>
      </c>
      <c r="B169" s="2" t="s">
        <v>741</v>
      </c>
      <c r="C169" s="2" t="s">
        <v>742</v>
      </c>
      <c r="D169" s="2" t="s">
        <v>743</v>
      </c>
      <c r="E169" s="2">
        <v>2022</v>
      </c>
      <c r="F169" s="2" t="s">
        <v>675</v>
      </c>
      <c r="G169" s="2" t="s">
        <v>77</v>
      </c>
      <c r="H169" s="2" t="s">
        <v>682</v>
      </c>
      <c r="I169" s="4" t="str">
        <f>IF([1]!musicmd[[#This Row],[Views (YouTube)]]&gt;50000000,"Hit",IF([1]!musicmd[[#This Row],[Views (YouTube)]]&gt;10000000,"Average","Low"))</f>
        <v>Hit</v>
      </c>
      <c r="J169" s="5" t="str">
        <f>IF([1]!musicmd[[#This Row],[Views (YouTube)]]&gt;50000000,"High",IF([1]!musicmd[[#This Row],[Views (YouTube)]]&gt;10000000,"Medium","Low"))</f>
        <v>High</v>
      </c>
    </row>
    <row r="170" spans="1:10" ht="144" x14ac:dyDescent="0.3">
      <c r="A170" s="6" t="s">
        <v>744</v>
      </c>
      <c r="B170" s="7" t="s">
        <v>745</v>
      </c>
      <c r="C170" s="8" t="s">
        <v>746</v>
      </c>
      <c r="D170" s="7" t="s">
        <v>743</v>
      </c>
      <c r="E170" s="7">
        <v>2022</v>
      </c>
      <c r="F170" s="7" t="s">
        <v>675</v>
      </c>
      <c r="G170" s="7" t="s">
        <v>239</v>
      </c>
      <c r="H170" s="7" t="s">
        <v>747</v>
      </c>
      <c r="I170" s="9" t="str">
        <f>IF([1]!musicmd[[#This Row],[Views (YouTube)]]&gt;50000000,"Hit",IF([1]!musicmd[[#This Row],[Views (YouTube)]]&gt;10000000,"Average","Low"))</f>
        <v>Hit</v>
      </c>
      <c r="J170" s="10" t="str">
        <f>IF([1]!musicmd[[#This Row],[Views (YouTube)]]&gt;50000000,"High",IF([1]!musicmd[[#This Row],[Views (YouTube)]]&gt;10000000,"Medium","Low"))</f>
        <v>High</v>
      </c>
    </row>
    <row r="171" spans="1:10" ht="144" x14ac:dyDescent="0.3">
      <c r="A171" s="1" t="s">
        <v>748</v>
      </c>
      <c r="B171" s="2" t="s">
        <v>749</v>
      </c>
      <c r="C171" s="3" t="s">
        <v>750</v>
      </c>
      <c r="D171" s="2" t="s">
        <v>743</v>
      </c>
      <c r="E171" s="2">
        <v>2022</v>
      </c>
      <c r="F171" s="2" t="s">
        <v>675</v>
      </c>
      <c r="G171" s="2" t="s">
        <v>751</v>
      </c>
      <c r="H171" s="2" t="s">
        <v>514</v>
      </c>
      <c r="I171" s="4" t="str">
        <f>IF([1]!musicmd[[#This Row],[Views (YouTube)]]&gt;50000000,"Hit",IF([1]!musicmd[[#This Row],[Views (YouTube)]]&gt;10000000,"Average","Low"))</f>
        <v>Hit</v>
      </c>
      <c r="J171" s="5" t="str">
        <f>IF([1]!musicmd[[#This Row],[Views (YouTube)]]&gt;50000000,"High",IF([1]!musicmd[[#This Row],[Views (YouTube)]]&gt;10000000,"Medium","Low"))</f>
        <v>High</v>
      </c>
    </row>
    <row r="172" spans="1:10" ht="302.39999999999998" x14ac:dyDescent="0.3">
      <c r="A172" s="6" t="s">
        <v>752</v>
      </c>
      <c r="B172" s="7" t="s">
        <v>753</v>
      </c>
      <c r="C172" s="8" t="s">
        <v>754</v>
      </c>
      <c r="D172" s="7" t="s">
        <v>743</v>
      </c>
      <c r="E172" s="7">
        <v>2022</v>
      </c>
      <c r="F172" s="7" t="s">
        <v>675</v>
      </c>
      <c r="G172" s="7" t="s">
        <v>58</v>
      </c>
      <c r="H172" s="7" t="s">
        <v>755</v>
      </c>
      <c r="I172" s="9" t="str">
        <f>IF([1]!musicmd[[#This Row],[Views (YouTube)]]&gt;50000000,"Hit",IF([1]!musicmd[[#This Row],[Views (YouTube)]]&gt;10000000,"Average","Low"))</f>
        <v>Hit</v>
      </c>
      <c r="J172" s="10" t="str">
        <f>IF([1]!musicmd[[#This Row],[Views (YouTube)]]&gt;50000000,"High",IF([1]!musicmd[[#This Row],[Views (YouTube)]]&gt;10000000,"Medium","Low"))</f>
        <v>High</v>
      </c>
    </row>
    <row r="173" spans="1:10" x14ac:dyDescent="0.3">
      <c r="A173" s="1" t="s">
        <v>756</v>
      </c>
      <c r="B173" s="2" t="s">
        <v>757</v>
      </c>
      <c r="C173" s="2" t="s">
        <v>758</v>
      </c>
      <c r="D173" s="2" t="s">
        <v>743</v>
      </c>
      <c r="E173" s="2">
        <v>2022</v>
      </c>
      <c r="F173" s="2" t="s">
        <v>675</v>
      </c>
      <c r="G173" s="2" t="s">
        <v>77</v>
      </c>
      <c r="H173" s="2" t="s">
        <v>759</v>
      </c>
      <c r="I173" s="4" t="str">
        <f>IF([1]!musicmd[[#This Row],[Views (YouTube)]]&gt;50000000,"Hit",IF([1]!musicmd[[#This Row],[Views (YouTube)]]&gt;10000000,"Average","Low"))</f>
        <v>Hit</v>
      </c>
      <c r="J173" s="5" t="str">
        <f>IF([1]!musicmd[[#This Row],[Views (YouTube)]]&gt;50000000,"High",IF([1]!musicmd[[#This Row],[Views (YouTube)]]&gt;10000000,"Medium","Low"))</f>
        <v>High</v>
      </c>
    </row>
    <row r="174" spans="1:10" ht="100.8" x14ac:dyDescent="0.3">
      <c r="A174" s="6" t="s">
        <v>760</v>
      </c>
      <c r="B174" s="7" t="s">
        <v>761</v>
      </c>
      <c r="C174" s="8" t="s">
        <v>762</v>
      </c>
      <c r="D174" s="7" t="s">
        <v>743</v>
      </c>
      <c r="E174" s="7">
        <v>2022</v>
      </c>
      <c r="F174" s="7" t="s">
        <v>675</v>
      </c>
      <c r="G174" s="7" t="s">
        <v>763</v>
      </c>
      <c r="H174" s="7" t="s">
        <v>728</v>
      </c>
      <c r="I174" s="9" t="str">
        <f>IF([1]!musicmd[[#This Row],[Views (YouTube)]]&gt;50000000,"Hit",IF([1]!musicmd[[#This Row],[Views (YouTube)]]&gt;10000000,"Average","Low"))</f>
        <v>Hit</v>
      </c>
      <c r="J174" s="10" t="str">
        <f>IF([1]!musicmd[[#This Row],[Views (YouTube)]]&gt;50000000,"High",IF([1]!musicmd[[#This Row],[Views (YouTube)]]&gt;10000000,"Medium","Low"))</f>
        <v>High</v>
      </c>
    </row>
    <row r="175" spans="1:10" x14ac:dyDescent="0.3">
      <c r="A175" s="1" t="s">
        <v>764</v>
      </c>
      <c r="B175" s="2" t="s">
        <v>765</v>
      </c>
      <c r="C175" s="2" t="s">
        <v>766</v>
      </c>
      <c r="D175" s="2" t="s">
        <v>743</v>
      </c>
      <c r="E175" s="2">
        <v>2022</v>
      </c>
      <c r="F175" s="2" t="s">
        <v>675</v>
      </c>
      <c r="G175" s="2" t="s">
        <v>58</v>
      </c>
      <c r="H175" s="2" t="s">
        <v>588</v>
      </c>
      <c r="I175" s="4" t="str">
        <f>IF([1]!musicmd[[#This Row],[Views (YouTube)]]&gt;50000000,"Hit",IF([1]!musicmd[[#This Row],[Views (YouTube)]]&gt;10000000,"Average","Low"))</f>
        <v>Hit</v>
      </c>
      <c r="J175" s="5" t="str">
        <f>IF([1]!musicmd[[#This Row],[Views (YouTube)]]&gt;50000000,"High",IF([1]!musicmd[[#This Row],[Views (YouTube)]]&gt;10000000,"Medium","Low"))</f>
        <v>High</v>
      </c>
    </row>
    <row r="176" spans="1:10" ht="100.8" x14ac:dyDescent="0.3">
      <c r="A176" s="6" t="s">
        <v>767</v>
      </c>
      <c r="B176" s="7" t="s">
        <v>768</v>
      </c>
      <c r="C176" s="8" t="s">
        <v>769</v>
      </c>
      <c r="D176" s="7" t="s">
        <v>743</v>
      </c>
      <c r="E176" s="7">
        <v>2022</v>
      </c>
      <c r="F176" s="7" t="s">
        <v>675</v>
      </c>
      <c r="G176" s="7" t="s">
        <v>518</v>
      </c>
      <c r="H176" s="7" t="s">
        <v>770</v>
      </c>
      <c r="I176" s="9" t="str">
        <f>IF([1]!musicmd[[#This Row],[Views (YouTube)]]&gt;50000000,"Hit",IF([1]!musicmd[[#This Row],[Views (YouTube)]]&gt;10000000,"Average","Low"))</f>
        <v>Hit</v>
      </c>
      <c r="J176" s="10" t="str">
        <f>IF([1]!musicmd[[#This Row],[Views (YouTube)]]&gt;50000000,"High",IF([1]!musicmd[[#This Row],[Views (YouTube)]]&gt;10000000,"Medium","Low"))</f>
        <v>High</v>
      </c>
    </row>
    <row r="177" spans="1:10" x14ac:dyDescent="0.3">
      <c r="A177" s="1" t="s">
        <v>771</v>
      </c>
      <c r="B177" s="2" t="s">
        <v>772</v>
      </c>
      <c r="C177" s="2" t="s">
        <v>773</v>
      </c>
      <c r="D177" s="2" t="s">
        <v>743</v>
      </c>
      <c r="E177" s="2">
        <v>2022</v>
      </c>
      <c r="F177" s="2" t="s">
        <v>675</v>
      </c>
      <c r="G177" s="2" t="s">
        <v>77</v>
      </c>
      <c r="H177" s="2" t="s">
        <v>774</v>
      </c>
      <c r="I177" s="4" t="str">
        <f>IF([1]!musicmd[[#This Row],[Views (YouTube)]]&gt;50000000,"Hit",IF([1]!musicmd[[#This Row],[Views (YouTube)]]&gt;10000000,"Average","Low"))</f>
        <v>Hit</v>
      </c>
      <c r="J177" s="5" t="str">
        <f>IF([1]!musicmd[[#This Row],[Views (YouTube)]]&gt;50000000,"High",IF([1]!musicmd[[#This Row],[Views (YouTube)]]&gt;10000000,"Medium","Low"))</f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Manideep Kumar P</dc:creator>
  <cp:lastModifiedBy>Sai Manideep Kumar P</cp:lastModifiedBy>
  <dcterms:created xsi:type="dcterms:W3CDTF">2026-03-25T19:56:03Z</dcterms:created>
  <dcterms:modified xsi:type="dcterms:W3CDTF">2026-03-25T20:04:31Z</dcterms:modified>
</cp:coreProperties>
</file>